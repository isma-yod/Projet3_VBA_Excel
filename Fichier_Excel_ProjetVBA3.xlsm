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YODA ISMAEL\Desktop\"/>
    </mc:Choice>
  </mc:AlternateContent>
  <bookViews>
    <workbookView xWindow="0" yWindow="0" windowWidth="20430" windowHeight="7380"/>
  </bookViews>
  <sheets>
    <sheet name="Menu" sheetId="15" r:id="rId1"/>
    <sheet name="Donnees" sheetId="3" r:id="rId2"/>
    <sheet name="livre_paie" sheetId="5" r:id="rId3"/>
    <sheet name="ecriture_compable" sheetId="6" r:id="rId4"/>
    <sheet name="Graphique1" sheetId="9" r:id="rId5"/>
    <sheet name="Graphique2" sheetId="10" r:id="rId6"/>
    <sheet name="Graphique3" sheetId="11" r:id="rId7"/>
    <sheet name="Graphique4" sheetId="12" r:id="rId8"/>
    <sheet name="Graphique5" sheetId="13" r:id="rId9"/>
    <sheet name="editeur_salaire" sheetId="8" r:id="rId10"/>
    <sheet name="edit_salaire" sheetId="14" r:id="rId11"/>
    <sheet name="combo" sheetId="2" r:id="rId12"/>
  </sheets>
  <functionGroups builtInGroupCount="18"/>
  <definedNames>
    <definedName name="_xlnm._FilterDatabase" localSheetId="9" hidden="1">editeur_salaire!$A$1:$V$51</definedName>
    <definedName name="_xlnm._FilterDatabase" localSheetId="2" hidden="1">livre_paie!$A$1:$U$51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3" l="1"/>
  <c r="C2" i="13"/>
  <c r="D2" i="12"/>
  <c r="C2" i="12"/>
  <c r="E2" i="11"/>
  <c r="D2" i="11"/>
  <c r="C2" i="11"/>
  <c r="E7" i="10"/>
  <c r="Q3" i="10"/>
  <c r="P3" i="10"/>
  <c r="O3" i="10"/>
  <c r="N3" i="10"/>
  <c r="M3" i="10"/>
  <c r="L3" i="10"/>
  <c r="K3" i="10"/>
  <c r="J3" i="10"/>
  <c r="I3" i="10"/>
  <c r="H3" i="10"/>
  <c r="D7" i="10" s="1"/>
  <c r="G3" i="10"/>
  <c r="F3" i="10"/>
  <c r="E3" i="10"/>
  <c r="D3" i="10"/>
  <c r="C3" i="10"/>
  <c r="C2" i="9"/>
  <c r="B2" i="9"/>
  <c r="J23" i="5"/>
  <c r="J21" i="5"/>
  <c r="J39" i="5"/>
  <c r="J29" i="5"/>
  <c r="J25" i="5"/>
  <c r="J18" i="5"/>
  <c r="J9" i="5"/>
  <c r="J15" i="5"/>
  <c r="J45" i="5"/>
  <c r="J33" i="5"/>
  <c r="J46" i="5"/>
  <c r="J8" i="5"/>
  <c r="J40" i="5"/>
  <c r="J43" i="5"/>
  <c r="J4" i="5"/>
  <c r="J49" i="5"/>
  <c r="J26" i="5"/>
  <c r="J30" i="5"/>
  <c r="J35" i="5"/>
  <c r="J48" i="5"/>
  <c r="J44" i="5"/>
  <c r="J36" i="5"/>
  <c r="J14" i="5"/>
  <c r="J31" i="5"/>
  <c r="J22" i="5"/>
  <c r="J38" i="5"/>
  <c r="J27" i="5"/>
  <c r="J28" i="5"/>
  <c r="J24" i="5"/>
  <c r="J16" i="5"/>
  <c r="J34" i="5"/>
  <c r="J42" i="5"/>
  <c r="J13" i="5"/>
  <c r="J11" i="5"/>
  <c r="J50" i="5"/>
  <c r="J20" i="5"/>
  <c r="J6" i="5"/>
  <c r="J32" i="5"/>
  <c r="J2" i="5"/>
  <c r="J47" i="5"/>
  <c r="J37" i="5"/>
  <c r="J3" i="5"/>
  <c r="J10" i="5"/>
  <c r="J41" i="5"/>
  <c r="J12" i="5"/>
  <c r="J7" i="5"/>
  <c r="J5" i="5"/>
  <c r="J19" i="5"/>
  <c r="J51" i="5"/>
  <c r="J17" i="5"/>
  <c r="A22" i="6" l="1"/>
  <c r="B16" i="6"/>
  <c r="E13" i="6"/>
  <c r="B13" i="6"/>
  <c r="A6" i="6"/>
  <c r="D6" i="6"/>
  <c r="L12" i="5"/>
  <c r="L25" i="5"/>
  <c r="L2" i="5"/>
  <c r="L13" i="5"/>
  <c r="M33" i="5"/>
  <c r="M10" i="5"/>
  <c r="M46" i="5"/>
  <c r="M36" i="5"/>
  <c r="M16" i="5"/>
  <c r="L23" i="5"/>
  <c r="K36" i="5"/>
  <c r="K11" i="5"/>
  <c r="M2" i="5"/>
  <c r="L41" i="5"/>
  <c r="L44" i="5"/>
  <c r="K10" i="5"/>
  <c r="K27" i="5"/>
  <c r="K3" i="5"/>
  <c r="L27" i="5"/>
  <c r="L29" i="5"/>
  <c r="L8" i="5"/>
  <c r="L49" i="5"/>
  <c r="M43" i="5"/>
  <c r="K35" i="5"/>
  <c r="L10" i="5"/>
  <c r="M42" i="5"/>
  <c r="K4" i="5"/>
  <c r="L48" i="5"/>
  <c r="L14" i="5"/>
  <c r="M26" i="5"/>
  <c r="K7" i="5"/>
  <c r="M32" i="5"/>
  <c r="L32" i="5"/>
  <c r="L17" i="5"/>
  <c r="L35" i="5"/>
  <c r="M17" i="5"/>
  <c r="K5" i="5"/>
  <c r="K17" i="5"/>
  <c r="L46" i="5"/>
  <c r="L9" i="5"/>
  <c r="L21" i="5"/>
  <c r="L36" i="5"/>
  <c r="K28" i="5"/>
  <c r="K51" i="5"/>
  <c r="L26" i="5"/>
  <c r="K31" i="5"/>
  <c r="K39" i="5"/>
  <c r="K13" i="5"/>
  <c r="K18" i="5"/>
  <c r="L18" i="5"/>
  <c r="K20" i="5"/>
  <c r="M7" i="5"/>
  <c r="M27" i="5"/>
  <c r="M19" i="5"/>
  <c r="M48" i="5"/>
  <c r="K12" i="5"/>
  <c r="K40" i="5"/>
  <c r="M23" i="5"/>
  <c r="L51" i="5"/>
  <c r="M35" i="5"/>
  <c r="L22" i="5"/>
  <c r="L34" i="5"/>
  <c r="L30" i="5"/>
  <c r="M50" i="5"/>
  <c r="K49" i="5"/>
  <c r="M22" i="5"/>
  <c r="K41" i="5"/>
  <c r="L6" i="5"/>
  <c r="K24" i="5"/>
  <c r="M12" i="5"/>
  <c r="K30" i="5"/>
  <c r="K50" i="5"/>
  <c r="L31" i="5"/>
  <c r="M30" i="5"/>
  <c r="K37" i="5"/>
  <c r="K15" i="5"/>
  <c r="M3" i="5"/>
  <c r="K2" i="5"/>
  <c r="K29" i="5"/>
  <c r="L37" i="5"/>
  <c r="M20" i="5"/>
  <c r="L47" i="5"/>
  <c r="K33" i="5"/>
  <c r="M8" i="5"/>
  <c r="K25" i="5"/>
  <c r="M28" i="5"/>
  <c r="K46" i="5"/>
  <c r="K21" i="5"/>
  <c r="M31" i="5"/>
  <c r="M39" i="5"/>
  <c r="M6" i="5"/>
  <c r="M21" i="5"/>
  <c r="K48" i="5"/>
  <c r="K34" i="5"/>
  <c r="L38" i="5"/>
  <c r="L3" i="5"/>
  <c r="L20" i="5"/>
  <c r="L7" i="5"/>
  <c r="K47" i="5"/>
  <c r="L42" i="5"/>
  <c r="K26" i="5"/>
  <c r="L50" i="5"/>
  <c r="M25" i="5"/>
  <c r="I42" i="5" l="1"/>
  <c r="I10" i="5"/>
  <c r="I25" i="5"/>
  <c r="I40" i="5"/>
  <c r="I8" i="5"/>
  <c r="I27" i="5"/>
  <c r="I30" i="5"/>
  <c r="I45" i="5"/>
  <c r="I13" i="5"/>
  <c r="I28" i="5"/>
  <c r="I47" i="5"/>
  <c r="I15" i="5"/>
  <c r="I26" i="5"/>
  <c r="I41" i="5"/>
  <c r="I9" i="5"/>
  <c r="I24" i="5"/>
  <c r="I43" i="5"/>
  <c r="I11" i="5"/>
  <c r="I46" i="5"/>
  <c r="I14" i="5"/>
  <c r="I29" i="5"/>
  <c r="I44" i="5"/>
  <c r="I12" i="5"/>
  <c r="I31" i="5"/>
  <c r="I38" i="5"/>
  <c r="I22" i="5"/>
  <c r="I6" i="5"/>
  <c r="I37" i="5"/>
  <c r="I21" i="5"/>
  <c r="I5" i="5"/>
  <c r="I36" i="5"/>
  <c r="I20" i="5"/>
  <c r="I4" i="5"/>
  <c r="I39" i="5"/>
  <c r="I23" i="5"/>
  <c r="I7" i="5"/>
  <c r="I50" i="5"/>
  <c r="I34" i="5"/>
  <c r="I18" i="5"/>
  <c r="I49" i="5"/>
  <c r="I33" i="5"/>
  <c r="I17" i="5"/>
  <c r="I48" i="5"/>
  <c r="I32" i="5"/>
  <c r="I16" i="5"/>
  <c r="I51" i="5"/>
  <c r="I35" i="5"/>
  <c r="I19" i="5"/>
  <c r="I3" i="5"/>
  <c r="C6" i="6"/>
  <c r="E6" i="6" s="1"/>
  <c r="I2" i="5"/>
  <c r="O25" i="5"/>
  <c r="M18" i="5"/>
  <c r="P41" i="5"/>
  <c r="K32" i="5"/>
  <c r="L4" i="5"/>
  <c r="O41" i="5"/>
  <c r="K23" i="5"/>
  <c r="O13" i="5"/>
  <c r="M5" i="5"/>
  <c r="P5" i="5"/>
  <c r="P12" i="5"/>
  <c r="L15" i="5"/>
  <c r="P33" i="5"/>
  <c r="L16" i="5"/>
  <c r="P34" i="5"/>
  <c r="O18" i="5"/>
  <c r="O30" i="5"/>
  <c r="P30" i="5"/>
  <c r="P37" i="5"/>
  <c r="P10" i="5"/>
  <c r="M9" i="5"/>
  <c r="O33" i="5"/>
  <c r="P27" i="5"/>
  <c r="O5" i="5"/>
  <c r="O48" i="5"/>
  <c r="O10" i="5"/>
  <c r="O7" i="5"/>
  <c r="O21" i="5"/>
  <c r="L40" i="5"/>
  <c r="M41" i="5"/>
  <c r="P4" i="5"/>
  <c r="M34" i="5"/>
  <c r="O3" i="5"/>
  <c r="P13" i="5"/>
  <c r="M45" i="5"/>
  <c r="L45" i="5"/>
  <c r="P31" i="5"/>
  <c r="O11" i="5"/>
  <c r="K44" i="5"/>
  <c r="M13" i="5"/>
  <c r="K9" i="5"/>
  <c r="M40" i="5"/>
  <c r="P18" i="5"/>
  <c r="O4" i="5"/>
  <c r="O29" i="5"/>
  <c r="L43" i="5"/>
  <c r="O24" i="5"/>
  <c r="P47" i="5"/>
  <c r="M11" i="5"/>
  <c r="O31" i="5"/>
  <c r="P25" i="5"/>
  <c r="P24" i="5"/>
  <c r="P17" i="5"/>
  <c r="M44" i="5"/>
  <c r="M49" i="5"/>
  <c r="P7" i="5"/>
  <c r="P28" i="5"/>
  <c r="L28" i="5"/>
  <c r="P2" i="5"/>
  <c r="P51" i="5"/>
  <c r="O39" i="5"/>
  <c r="K43" i="5"/>
  <c r="P15" i="5"/>
  <c r="P21" i="5"/>
  <c r="K19" i="5"/>
  <c r="P49" i="5"/>
  <c r="M29" i="5"/>
  <c r="O51" i="5"/>
  <c r="O20" i="5"/>
  <c r="L19" i="5"/>
  <c r="P3" i="5"/>
  <c r="K38" i="5"/>
  <c r="K16" i="5"/>
  <c r="M51" i="5"/>
  <c r="O47" i="5"/>
  <c r="O12" i="5"/>
  <c r="O27" i="5"/>
  <c r="K8" i="5"/>
  <c r="L39" i="5"/>
  <c r="L11" i="5"/>
  <c r="M14" i="5"/>
  <c r="P11" i="5"/>
  <c r="L33" i="5"/>
  <c r="O2" i="5"/>
  <c r="O15" i="5"/>
  <c r="K14" i="5"/>
  <c r="K42" i="5"/>
  <c r="O26" i="5"/>
  <c r="L5" i="5"/>
  <c r="O46" i="5"/>
  <c r="P20" i="5"/>
  <c r="P40" i="5"/>
  <c r="O35" i="5"/>
  <c r="O50" i="5"/>
  <c r="M15" i="5"/>
  <c r="O17" i="5"/>
  <c r="P36" i="5"/>
  <c r="O28" i="5"/>
  <c r="M24" i="5"/>
  <c r="O37" i="5"/>
  <c r="M38" i="5"/>
  <c r="M47" i="5"/>
  <c r="O36" i="5"/>
  <c r="K22" i="5"/>
  <c r="K6" i="5"/>
  <c r="M37" i="5"/>
  <c r="M4" i="5"/>
  <c r="O40" i="5"/>
  <c r="P35" i="5"/>
  <c r="P46" i="5"/>
  <c r="P29" i="5"/>
  <c r="K45" i="5"/>
  <c r="P26" i="5"/>
  <c r="P39" i="5"/>
  <c r="L24" i="5"/>
  <c r="P48" i="5"/>
  <c r="O49" i="5"/>
  <c r="O34" i="5"/>
  <c r="P50" i="5"/>
  <c r="S25" i="5" l="1"/>
  <c r="U25" i="5" s="1"/>
  <c r="S12" i="5"/>
  <c r="U12" i="5" s="1"/>
  <c r="S17" i="5"/>
  <c r="U17" i="5" s="1"/>
  <c r="S30" i="5"/>
  <c r="U30" i="5" s="1"/>
  <c r="S46" i="5"/>
  <c r="U46" i="5" s="1"/>
  <c r="S48" i="5"/>
  <c r="U48" i="5" s="1"/>
  <c r="S3" i="5"/>
  <c r="U3" i="5" s="1"/>
  <c r="S50" i="5"/>
  <c r="U50" i="5" s="1"/>
  <c r="C13" i="6"/>
  <c r="S47" i="5"/>
  <c r="U47" i="5" s="1"/>
  <c r="S28" i="5"/>
  <c r="U28" i="5" s="1"/>
  <c r="S40" i="5"/>
  <c r="U40" i="5" s="1"/>
  <c r="S11" i="5"/>
  <c r="U11" i="5" s="1"/>
  <c r="S31" i="5"/>
  <c r="U31" i="5" s="1"/>
  <c r="S27" i="5"/>
  <c r="U27" i="5" s="1"/>
  <c r="S10" i="5"/>
  <c r="U10" i="5" s="1"/>
  <c r="S41" i="5"/>
  <c r="U41" i="5" s="1"/>
  <c r="S29" i="5"/>
  <c r="U29" i="5" s="1"/>
  <c r="S26" i="5"/>
  <c r="U26" i="5" s="1"/>
  <c r="S51" i="5"/>
  <c r="U51" i="5" s="1"/>
  <c r="S15" i="5"/>
  <c r="U15" i="5" s="1"/>
  <c r="D13" i="6"/>
  <c r="S13" i="5"/>
  <c r="U13" i="5" s="1"/>
  <c r="S24" i="5"/>
  <c r="U24" i="5" s="1"/>
  <c r="S18" i="5"/>
  <c r="U18" i="5" s="1"/>
  <c r="S20" i="5"/>
  <c r="U20" i="5" s="1"/>
  <c r="S7" i="5"/>
  <c r="U7" i="5" s="1"/>
  <c r="S35" i="5"/>
  <c r="U35" i="5" s="1"/>
  <c r="S5" i="5"/>
  <c r="U5" i="5" s="1"/>
  <c r="S37" i="5"/>
  <c r="U37" i="5" s="1"/>
  <c r="S2" i="5"/>
  <c r="U2" i="5" s="1"/>
  <c r="S33" i="5"/>
  <c r="U33" i="5" s="1"/>
  <c r="S49" i="5"/>
  <c r="U49" i="5" s="1"/>
  <c r="S34" i="5"/>
  <c r="U34" i="5" s="1"/>
  <c r="S39" i="5"/>
  <c r="U39" i="5" s="1"/>
  <c r="S4" i="5"/>
  <c r="U4" i="5" s="1"/>
  <c r="S36" i="5"/>
  <c r="U36" i="5" s="1"/>
  <c r="S21" i="5"/>
  <c r="U21" i="5" s="1"/>
  <c r="O19" i="5"/>
  <c r="P44" i="5"/>
  <c r="P32" i="5"/>
  <c r="O9" i="5"/>
  <c r="P14" i="5"/>
  <c r="O44" i="5"/>
  <c r="P38" i="5"/>
  <c r="P9" i="5"/>
  <c r="O14" i="5"/>
  <c r="P6" i="5"/>
  <c r="P16" i="5"/>
  <c r="P45" i="5"/>
  <c r="O16" i="5"/>
  <c r="O23" i="5"/>
  <c r="P19" i="5"/>
  <c r="O45" i="5"/>
  <c r="O43" i="5"/>
  <c r="P23" i="5"/>
  <c r="P42" i="5"/>
  <c r="O6" i="5"/>
  <c r="P22" i="5"/>
  <c r="O22" i="5"/>
  <c r="O32" i="5"/>
  <c r="O42" i="5"/>
  <c r="P8" i="5"/>
  <c r="P43" i="5"/>
  <c r="O38" i="5"/>
  <c r="O8" i="5"/>
  <c r="S23" i="5" l="1"/>
  <c r="U23" i="5" s="1"/>
  <c r="S22" i="5"/>
  <c r="U22" i="5" s="1"/>
  <c r="S38" i="5"/>
  <c r="U38" i="5" s="1"/>
  <c r="S9" i="5"/>
  <c r="U9" i="5" s="1"/>
  <c r="S16" i="5"/>
  <c r="U16" i="5" s="1"/>
  <c r="S32" i="5"/>
  <c r="U32" i="5" s="1"/>
  <c r="S45" i="5"/>
  <c r="U45" i="5" s="1"/>
  <c r="S43" i="5"/>
  <c r="U43" i="5" s="1"/>
  <c r="S42" i="5"/>
  <c r="U42" i="5" s="1"/>
  <c r="S8" i="5"/>
  <c r="U8" i="5" s="1"/>
  <c r="S14" i="5"/>
  <c r="U14" i="5" s="1"/>
  <c r="S19" i="5"/>
  <c r="U19" i="5" s="1"/>
  <c r="S6" i="5"/>
  <c r="U6" i="5" s="1"/>
  <c r="S44" i="5"/>
  <c r="U44" i="5" s="1"/>
  <c r="A16" i="6"/>
  <c r="C16" i="6" l="1"/>
  <c r="B22" i="6" s="1"/>
  <c r="A13" i="6"/>
</calcChain>
</file>

<file path=xl/sharedStrings.xml><?xml version="1.0" encoding="utf-8"?>
<sst xmlns="http://schemas.openxmlformats.org/spreadsheetml/2006/main" count="1354" uniqueCount="276">
  <si>
    <t>A</t>
  </si>
  <si>
    <t>C</t>
  </si>
  <si>
    <t>Marié</t>
  </si>
  <si>
    <t>Masculin</t>
  </si>
  <si>
    <t>Feminin</t>
  </si>
  <si>
    <t>Celibataire</t>
  </si>
  <si>
    <t>B</t>
  </si>
  <si>
    <t>Numero</t>
  </si>
  <si>
    <t>Matricule</t>
  </si>
  <si>
    <t>Prenom</t>
  </si>
  <si>
    <t>Nom</t>
  </si>
  <si>
    <t>Lieu Naissance</t>
  </si>
  <si>
    <t>Sexe</t>
  </si>
  <si>
    <t>Categorie</t>
  </si>
  <si>
    <t>Etat Civil</t>
  </si>
  <si>
    <t>Prime</t>
  </si>
  <si>
    <t>Avantages</t>
  </si>
  <si>
    <t>IPM</t>
  </si>
  <si>
    <t>Opposition</t>
  </si>
  <si>
    <t>Nombre epouses</t>
  </si>
  <si>
    <t>Nombre enfants</t>
  </si>
  <si>
    <t>Indemnites</t>
  </si>
  <si>
    <t>Sursalaire</t>
  </si>
  <si>
    <t>Heuresup_15</t>
  </si>
  <si>
    <t>Heuresup_40</t>
  </si>
  <si>
    <t>Heuresup_60</t>
  </si>
  <si>
    <t>Heuresup_100</t>
  </si>
  <si>
    <t>Avances_Accompte</t>
  </si>
  <si>
    <t>1231-BA/B</t>
  </si>
  <si>
    <t>ADAMA</t>
  </si>
  <si>
    <t>BA</t>
  </si>
  <si>
    <t>DAKAR</t>
  </si>
  <si>
    <t>1232-BAMPASSY/B</t>
  </si>
  <si>
    <t>ALEX</t>
  </si>
  <si>
    <t>BAMPASSY</t>
  </si>
  <si>
    <t>TAMBA</t>
  </si>
  <si>
    <t>1233-BEYE/B</t>
  </si>
  <si>
    <t>ALA</t>
  </si>
  <si>
    <t>BEYE</t>
  </si>
  <si>
    <t>GOUDIRY</t>
  </si>
  <si>
    <t>1234-BOYE/C</t>
  </si>
  <si>
    <t>MEDOUNE</t>
  </si>
  <si>
    <t>BOYE</t>
  </si>
  <si>
    <t>FATICK</t>
  </si>
  <si>
    <t>1235-CISSE/C</t>
  </si>
  <si>
    <t>LAHAT</t>
  </si>
  <si>
    <t>CISSE</t>
  </si>
  <si>
    <t>GUEDIAWAYE</t>
  </si>
  <si>
    <t>1236-DEME/C</t>
  </si>
  <si>
    <t>FARY</t>
  </si>
  <si>
    <t>DEME</t>
  </si>
  <si>
    <t>RANEROU</t>
  </si>
  <si>
    <t>4567-DIAGNE/A</t>
  </si>
  <si>
    <t>MBOMBE</t>
  </si>
  <si>
    <t>DIAGNE</t>
  </si>
  <si>
    <t>PIKINE</t>
  </si>
  <si>
    <t>4568-DIALLO/A</t>
  </si>
  <si>
    <t>YACINE</t>
  </si>
  <si>
    <t>DIALLO</t>
  </si>
  <si>
    <t>1239-DIALLO/A</t>
  </si>
  <si>
    <t>ALIOUNE NDIAYE</t>
  </si>
  <si>
    <t>12310-DIAME/A</t>
  </si>
  <si>
    <t>KARIM ABDEL</t>
  </si>
  <si>
    <t>DIAME</t>
  </si>
  <si>
    <t>BANJUL</t>
  </si>
  <si>
    <t>45611-DIAO/B</t>
  </si>
  <si>
    <t>AISSATOU SECK</t>
  </si>
  <si>
    <t>DIAO</t>
  </si>
  <si>
    <t>ZIGUINCHOR</t>
  </si>
  <si>
    <t>12312-DIATTA/B</t>
  </si>
  <si>
    <t>LEON</t>
  </si>
  <si>
    <t>DIATTA</t>
  </si>
  <si>
    <t>OUSSOUYE</t>
  </si>
  <si>
    <t>45613-DIAW/B</t>
  </si>
  <si>
    <t>AWA</t>
  </si>
  <si>
    <t>DIAW</t>
  </si>
  <si>
    <t>DIOURBEL</t>
  </si>
  <si>
    <t>12314-DIOP/C</t>
  </si>
  <si>
    <t>HABIB</t>
  </si>
  <si>
    <t>DIOP</t>
  </si>
  <si>
    <t>BAMBEY</t>
  </si>
  <si>
    <t>12315-DIOP/C</t>
  </si>
  <si>
    <t>BABACAR</t>
  </si>
  <si>
    <t>12316-DIOUF/C</t>
  </si>
  <si>
    <t>MODOU</t>
  </si>
  <si>
    <t>DIOUF</t>
  </si>
  <si>
    <t>KAFFRINE</t>
  </si>
  <si>
    <t>12317-DIOUF/C</t>
  </si>
  <si>
    <t>HENRY</t>
  </si>
  <si>
    <t>LOMPOUL</t>
  </si>
  <si>
    <t>12318-DIOUM/A</t>
  </si>
  <si>
    <t>ASSANE</t>
  </si>
  <si>
    <t>DIOUM</t>
  </si>
  <si>
    <t>MBOUR</t>
  </si>
  <si>
    <t>12319-FALL/C</t>
  </si>
  <si>
    <t>SENGANE</t>
  </si>
  <si>
    <t>FALL</t>
  </si>
  <si>
    <t>JOAL</t>
  </si>
  <si>
    <t>12320-FALL/B</t>
  </si>
  <si>
    <t>LAMINE</t>
  </si>
  <si>
    <t>YOFF</t>
  </si>
  <si>
    <t>12321-FAYE/B</t>
  </si>
  <si>
    <t>MOUHAMED</t>
  </si>
  <si>
    <t>FAYE</t>
  </si>
  <si>
    <t>RUFISQUE</t>
  </si>
  <si>
    <t>45622-FAYE/B</t>
  </si>
  <si>
    <t>NDIAYA</t>
  </si>
  <si>
    <t>SAINT LOUIS</t>
  </si>
  <si>
    <t>12323-GNING/C</t>
  </si>
  <si>
    <t>DAME</t>
  </si>
  <si>
    <t>GNING</t>
  </si>
  <si>
    <t>TOUBA</t>
  </si>
  <si>
    <t>12324-GUEYE/C</t>
  </si>
  <si>
    <t>BOUBA</t>
  </si>
  <si>
    <t>GUEYE</t>
  </si>
  <si>
    <t>SEDHIOU</t>
  </si>
  <si>
    <t>45625-GUEYE/C</t>
  </si>
  <si>
    <t>KINE</t>
  </si>
  <si>
    <t>AERE LAO</t>
  </si>
  <si>
    <t>12326-KANDJI/C</t>
  </si>
  <si>
    <t>MADIOP</t>
  </si>
  <si>
    <t>KANDJI</t>
  </si>
  <si>
    <t>KEDOUGOU</t>
  </si>
  <si>
    <t>12327-KARE/A</t>
  </si>
  <si>
    <t>KARE</t>
  </si>
  <si>
    <t>BAKEL</t>
  </si>
  <si>
    <t>12328-KEBE/B</t>
  </si>
  <si>
    <t>THOMAS</t>
  </si>
  <si>
    <t>KEBE</t>
  </si>
  <si>
    <t>LOUGA</t>
  </si>
  <si>
    <t>45629-LAM/A</t>
  </si>
  <si>
    <t>AMY</t>
  </si>
  <si>
    <t>LAM</t>
  </si>
  <si>
    <t>TIVAOUNE</t>
  </si>
  <si>
    <t>12330-LO/A</t>
  </si>
  <si>
    <t>MOUSTAPHA DIOP</t>
  </si>
  <si>
    <t>LO</t>
  </si>
  <si>
    <t>LINGUERE</t>
  </si>
  <si>
    <t>12331-LY/A</t>
  </si>
  <si>
    <t>ABDOULAYE MASSECK</t>
  </si>
  <si>
    <t>LY</t>
  </si>
  <si>
    <t>LAMBAYE</t>
  </si>
  <si>
    <t>12332-MBAYE/B</t>
  </si>
  <si>
    <t>ABDOU</t>
  </si>
  <si>
    <t>MBAYE</t>
  </si>
  <si>
    <t>KOLDA</t>
  </si>
  <si>
    <t>12333-MBENGUE/B</t>
  </si>
  <si>
    <t>KARIM</t>
  </si>
  <si>
    <t>MBENGUE</t>
  </si>
  <si>
    <t>KAOLACK</t>
  </si>
  <si>
    <t>45634-NDIAYE/B</t>
  </si>
  <si>
    <t>FATIM</t>
  </si>
  <si>
    <t>NDIAYE</t>
  </si>
  <si>
    <t>VELINGARA</t>
  </si>
  <si>
    <t>12335-NGOM/B</t>
  </si>
  <si>
    <t>YOUSSOU</t>
  </si>
  <si>
    <t>NGOM</t>
  </si>
  <si>
    <t>OUAKAM</t>
  </si>
  <si>
    <t>12336-PREIRA/B</t>
  </si>
  <si>
    <t>FRANCOIS</t>
  </si>
  <si>
    <t>PREIRA</t>
  </si>
  <si>
    <t>PARIS</t>
  </si>
  <si>
    <t>12337-SAGNA/C</t>
  </si>
  <si>
    <t>SAGNA</t>
  </si>
  <si>
    <t>12338-SAGNA/A</t>
  </si>
  <si>
    <t>FREDERIC</t>
  </si>
  <si>
    <t>45639-SAMB/C</t>
  </si>
  <si>
    <t>ALIMATOU</t>
  </si>
  <si>
    <t>SAMB</t>
  </si>
  <si>
    <t>45640-SAMB/C</t>
  </si>
  <si>
    <t>DIARRY</t>
  </si>
  <si>
    <t>12341-SARR/A</t>
  </si>
  <si>
    <t>OMAR</t>
  </si>
  <si>
    <t>SARR</t>
  </si>
  <si>
    <t>12342-SECK/C</t>
  </si>
  <si>
    <t>MAURY</t>
  </si>
  <si>
    <t>SECK</t>
  </si>
  <si>
    <t>THIES</t>
  </si>
  <si>
    <t>12343-SENE/C</t>
  </si>
  <si>
    <t>IBRAHIMA</t>
  </si>
  <si>
    <t>SENE</t>
  </si>
  <si>
    <t>MBACKE</t>
  </si>
  <si>
    <t>12344-SEYDI/B</t>
  </si>
  <si>
    <t>MOUSSA</t>
  </si>
  <si>
    <t>SEYDI</t>
  </si>
  <si>
    <t>45645-SOW/B</t>
  </si>
  <si>
    <t>KHADY</t>
  </si>
  <si>
    <t>SOW</t>
  </si>
  <si>
    <t>CAS CAS</t>
  </si>
  <si>
    <t>12346-SY/B</t>
  </si>
  <si>
    <t>ALPHA</t>
  </si>
  <si>
    <t>SY</t>
  </si>
  <si>
    <t>12347-TALL/B</t>
  </si>
  <si>
    <t>MOUSTAPHA</t>
  </si>
  <si>
    <t>TALL</t>
  </si>
  <si>
    <t>45648-TALL/B</t>
  </si>
  <si>
    <t>NDEYE</t>
  </si>
  <si>
    <t>12349-TAVARESE/B</t>
  </si>
  <si>
    <t>PHILIPPE MODOU</t>
  </si>
  <si>
    <t>TAVARESE</t>
  </si>
  <si>
    <t>12350-THIAM/B</t>
  </si>
  <si>
    <t>KHADIM</t>
  </si>
  <si>
    <t>THIAM</t>
  </si>
  <si>
    <t>Date Nais</t>
  </si>
  <si>
    <t>Age</t>
  </si>
  <si>
    <t>Type de regime</t>
  </si>
  <si>
    <t>SBS</t>
  </si>
  <si>
    <t>RG</t>
  </si>
  <si>
    <t>RC</t>
  </si>
  <si>
    <t>TRIMF</t>
  </si>
  <si>
    <t>IR</t>
  </si>
  <si>
    <t>Avance_Acompte</t>
  </si>
  <si>
    <t>Retenues</t>
  </si>
  <si>
    <t>Salaire_Net</t>
  </si>
  <si>
    <t>Cadre</t>
  </si>
  <si>
    <t>SBF</t>
  </si>
  <si>
    <t>Trésorerie</t>
  </si>
  <si>
    <t>Retraite obligatoire</t>
  </si>
  <si>
    <t>Retraite facultative</t>
  </si>
  <si>
    <t>Mutuelle de Santé</t>
  </si>
  <si>
    <t xml:space="preserve">Opposition </t>
  </si>
  <si>
    <t>General</t>
  </si>
  <si>
    <t>Date Naissance</t>
  </si>
  <si>
    <t>26/10/75</t>
  </si>
  <si>
    <t>17/10/82</t>
  </si>
  <si>
    <t>17/04/83</t>
  </si>
  <si>
    <t>BOMBE</t>
  </si>
  <si>
    <t>31/1/82</t>
  </si>
  <si>
    <t>17/10/75</t>
  </si>
  <si>
    <t>ALOUNE NDIAYE</t>
  </si>
  <si>
    <t>26/08/77</t>
  </si>
  <si>
    <t>ZINGUINCHOR</t>
  </si>
  <si>
    <t>19/7/79</t>
  </si>
  <si>
    <t>30/9/82</t>
  </si>
  <si>
    <t>17/9/85</t>
  </si>
  <si>
    <t>19/3/84</t>
  </si>
  <si>
    <t>14/4/78</t>
  </si>
  <si>
    <t>27/1/77</t>
  </si>
  <si>
    <t>16/5/82</t>
  </si>
  <si>
    <t>31/10/84</t>
  </si>
  <si>
    <t>28/11/77</t>
  </si>
  <si>
    <t>27/10/79</t>
  </si>
  <si>
    <t>AERELAO</t>
  </si>
  <si>
    <t>27/7/85</t>
  </si>
  <si>
    <t>18/11/85</t>
  </si>
  <si>
    <t>21/12/78</t>
  </si>
  <si>
    <t>12333-MENGUE/B</t>
  </si>
  <si>
    <t>16/8/82</t>
  </si>
  <si>
    <t>26/6/77</t>
  </si>
  <si>
    <t>24/03/76</t>
  </si>
  <si>
    <t>19/10/76</t>
  </si>
  <si>
    <t>16/5/81</t>
  </si>
  <si>
    <t>29/8/77</t>
  </si>
  <si>
    <t>19/4/77</t>
  </si>
  <si>
    <t>18/6/79</t>
  </si>
  <si>
    <t>23/3/84</t>
  </si>
  <si>
    <t>29/11/84</t>
  </si>
  <si>
    <t>MOUSTAPHATALL</t>
  </si>
  <si>
    <t>19/7/76</t>
  </si>
  <si>
    <t>29/7/85</t>
  </si>
  <si>
    <t>23/4/85</t>
  </si>
  <si>
    <t>21/12/81</t>
  </si>
  <si>
    <t>30-35</t>
  </si>
  <si>
    <t>36-40</t>
  </si>
  <si>
    <t>41-45</t>
  </si>
  <si>
    <t>Type regime</t>
  </si>
  <si>
    <t>Catégorie</t>
  </si>
  <si>
    <t>Av. Acompte</t>
  </si>
  <si>
    <t>Rémun. D.V</t>
  </si>
  <si>
    <t>Indemns.F</t>
  </si>
  <si>
    <t>Personnel.R.D</t>
  </si>
  <si>
    <t xml:space="preserve">Etat Impôts.Ret.S </t>
  </si>
  <si>
    <t>Personnel.R.Ds</t>
  </si>
  <si>
    <t xml:space="preserve">                                               VERSEMENT D'AVANCE OU ACCOMPTE                                                     VERSEMENT D'AVANCE OU ACCOMPTE</t>
  </si>
  <si>
    <t xml:space="preserve">                                              COMPTABILISATION DU LIVRE DE PAIE                                                  COMPTABILISATION DU LIVRE DE PAIE</t>
  </si>
  <si>
    <t xml:space="preserve">               COMPTABILISATION DU REGLEMENT DES SALAIRES ET OPPOSITIONS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</si>
</sst>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2"/>
      <color theme="5"/>
      <name val="Times New Roman"/>
      <family val="1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14" fontId="1" fillId="0" borderId="0" xfId="0" applyNumberFormat="1" applyFont="1" applyBorder="1"/>
    <xf numFmtId="0" fontId="0" fillId="0" borderId="0" xfId="0" applyBorder="1"/>
    <xf numFmtId="0" fontId="1" fillId="0" borderId="0" xfId="0" applyFont="1" applyBorder="1" applyAlignment="1">
      <alignment horizontal="center"/>
    </xf>
    <xf numFmtId="17" fontId="0" fillId="0" borderId="0" xfId="0" applyNumberForma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ont="1" applyFill="1" applyBorder="1"/>
    <xf numFmtId="0" fontId="0" fillId="2" borderId="1" xfId="0" applyFill="1" applyBorder="1"/>
    <xf numFmtId="0" fontId="0" fillId="0" borderId="0" xfId="0" applyAlignment="1">
      <alignment horizontal="center"/>
    </xf>
    <xf numFmtId="14" fontId="0" fillId="0" borderId="0" xfId="0" applyNumberFormat="1" applyBorder="1" applyAlignment="1">
      <alignment horizontal="center"/>
    </xf>
    <xf numFmtId="14" fontId="1" fillId="0" borderId="0" xfId="0" applyNumberFormat="1" applyFont="1" applyBorder="1" applyAlignment="1">
      <alignment horizontal="center"/>
    </xf>
    <xf numFmtId="0" fontId="3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2" fillId="2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>
                  <a:shade val="76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>
                  <a:tint val="77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Graphique1!$B$1:$C$1</c:f>
              <c:strCache>
                <c:ptCount val="2"/>
                <c:pt idx="0">
                  <c:v>Masculin</c:v>
                </c:pt>
                <c:pt idx="1">
                  <c:v>Feminin</c:v>
                </c:pt>
              </c:strCache>
            </c:strRef>
          </c:cat>
          <c:val>
            <c:numRef>
              <c:f>Graphique1!$B$2:$C$2</c:f>
              <c:numCache>
                <c:formatCode>General</c:formatCode>
                <c:ptCount val="2"/>
                <c:pt idx="0">
                  <c:v>38</c:v>
                </c:pt>
                <c:pt idx="1">
                  <c:v>12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331560827623821"/>
          <c:y val="0.38157564304461938"/>
          <c:w val="0.21128438490643214"/>
          <c:h val="0.18987483078057116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695910741229724"/>
          <c:y val="9.21659432083618E-2"/>
          <c:w val="0.69646035694077701"/>
          <c:h val="0.86482328329440272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Graphique2!$C$6:$E$6</c:f>
              <c:strCache>
                <c:ptCount val="3"/>
                <c:pt idx="0">
                  <c:v>30-35</c:v>
                </c:pt>
                <c:pt idx="1">
                  <c:v>36-40</c:v>
                </c:pt>
                <c:pt idx="2">
                  <c:v>41-45</c:v>
                </c:pt>
              </c:strCache>
            </c:strRef>
          </c:cat>
          <c:val>
            <c:numRef>
              <c:f>Graphique2!$C$7:$E$7</c:f>
              <c:numCache>
                <c:formatCode>General</c:formatCode>
                <c:ptCount val="3"/>
                <c:pt idx="0">
                  <c:v>7</c:v>
                </c:pt>
                <c:pt idx="1">
                  <c:v>17</c:v>
                </c:pt>
                <c:pt idx="2">
                  <c:v>26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837797057714066"/>
          <c:y val="0.38069469414453555"/>
          <c:w val="0.17254544275745001"/>
          <c:h val="0.31106223547648582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Graphique3!$C$1:$E$1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Graphique3!$C$2:$E$2</c:f>
              <c:numCache>
                <c:formatCode>General</c:formatCode>
                <c:ptCount val="3"/>
                <c:pt idx="0">
                  <c:v>11</c:v>
                </c:pt>
                <c:pt idx="1">
                  <c:v>23</c:v>
                </c:pt>
                <c:pt idx="2">
                  <c:v>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613057152"/>
        <c:axId val="-613061504"/>
        <c:axId val="0"/>
      </c:bar3DChart>
      <c:catAx>
        <c:axId val="-613057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613061504"/>
        <c:crosses val="autoZero"/>
        <c:auto val="1"/>
        <c:lblAlgn val="ctr"/>
        <c:lblOffset val="100"/>
        <c:noMultiLvlLbl val="0"/>
      </c:catAx>
      <c:valAx>
        <c:axId val="-61306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61305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/>
    </a:solidFill>
    <a:ln w="12700" cap="flat" cmpd="sng" algn="ctr">
      <a:solidFill>
        <a:schemeClr val="accent2">
          <a:shade val="50000"/>
        </a:schemeClr>
      </a:solidFill>
      <a:prstDash val="solid"/>
      <a:miter lim="800000"/>
    </a:ln>
    <a:effectLst/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Graphique4!$C$1:$D$1</c:f>
              <c:strCache>
                <c:ptCount val="2"/>
                <c:pt idx="0">
                  <c:v>General</c:v>
                </c:pt>
                <c:pt idx="1">
                  <c:v>Cadre</c:v>
                </c:pt>
              </c:strCache>
            </c:strRef>
          </c:cat>
          <c:val>
            <c:numRef>
              <c:f>Graphique4!$C$2:$D$2</c:f>
              <c:numCache>
                <c:formatCode>General</c:formatCode>
                <c:ptCount val="2"/>
                <c:pt idx="0">
                  <c:v>25</c:v>
                </c:pt>
                <c:pt idx="1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613040832"/>
        <c:axId val="-613067488"/>
        <c:axId val="0"/>
      </c:bar3DChart>
      <c:catAx>
        <c:axId val="-613040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baseline="0">
                <a:ln/>
                <a:pattFill prst="dkUpDiag">
                  <a:fgClr>
                    <a:schemeClr val="bg1">
                      <a:lumMod val="50000"/>
                    </a:schemeClr>
                  </a:fgClr>
                  <a:bgClr>
                    <a:schemeClr val="tx1">
                      <a:lumMod val="75000"/>
                      <a:lumOff val="25000"/>
                    </a:schemeClr>
                  </a:bgClr>
                </a:patt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-613067488"/>
        <c:crosses val="autoZero"/>
        <c:auto val="1"/>
        <c:lblAlgn val="ctr"/>
        <c:lblOffset val="100"/>
        <c:noMultiLvlLbl val="0"/>
      </c:catAx>
      <c:valAx>
        <c:axId val="-61306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baseline="0">
                <a:ln/>
                <a:pattFill prst="dkUpDiag">
                  <a:fgClr>
                    <a:schemeClr val="bg1">
                      <a:lumMod val="50000"/>
                    </a:schemeClr>
                  </a:fgClr>
                  <a:bgClr>
                    <a:schemeClr val="tx1">
                      <a:lumMod val="75000"/>
                      <a:lumOff val="25000"/>
                    </a:schemeClr>
                  </a:bgClr>
                </a:patt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-61304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 cap="none" spc="0">
          <a:ln/>
          <a:pattFill prst="dkUpDiag">
            <a:fgClr>
              <a:schemeClr val="bg1">
                <a:lumMod val="50000"/>
              </a:schemeClr>
            </a:fgClr>
            <a:bgClr>
              <a:schemeClr val="tx1">
                <a:lumMod val="75000"/>
                <a:lumOff val="25000"/>
              </a:schemeClr>
            </a:bgClr>
          </a:pattFill>
          <a:effectLst>
            <a:outerShdw blurRad="38100" dist="19050" dir="2700000" algn="tl" rotWithShape="0">
              <a:schemeClr val="dk1">
                <a:lumMod val="50000"/>
                <a:alpha val="40000"/>
              </a:schemeClr>
            </a:outerShdw>
          </a:effectLst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Graphique5!$C$1:$D$1</c:f>
              <c:strCache>
                <c:ptCount val="2"/>
                <c:pt idx="0">
                  <c:v>Marié</c:v>
                </c:pt>
                <c:pt idx="1">
                  <c:v>Celibataire</c:v>
                </c:pt>
              </c:strCache>
            </c:strRef>
          </c:cat>
          <c:val>
            <c:numRef>
              <c:f>Graphique5!$C$2:$D$2</c:f>
              <c:numCache>
                <c:formatCode>General</c:formatCode>
                <c:ptCount val="2"/>
                <c:pt idx="0">
                  <c:v>30</c:v>
                </c:pt>
                <c:pt idx="1">
                  <c:v>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997686964591166"/>
          <c:y val="0.43802019539224263"/>
          <c:w val="0.21577658055900908"/>
          <c:h val="0.16544233441408063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</xdr:row>
          <xdr:rowOff>161925</xdr:rowOff>
        </xdr:from>
        <xdr:to>
          <xdr:col>4</xdr:col>
          <xdr:colOff>371475</xdr:colOff>
          <xdr:row>9</xdr:row>
          <xdr:rowOff>28575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5</xdr:row>
          <xdr:rowOff>123825</xdr:rowOff>
        </xdr:from>
        <xdr:to>
          <xdr:col>10</xdr:col>
          <xdr:colOff>104775</xdr:colOff>
          <xdr:row>8</xdr:row>
          <xdr:rowOff>180975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5</xdr:row>
          <xdr:rowOff>114300</xdr:rowOff>
        </xdr:from>
        <xdr:to>
          <xdr:col>16</xdr:col>
          <xdr:colOff>171450</xdr:colOff>
          <xdr:row>9</xdr:row>
          <xdr:rowOff>19050</xdr:rowOff>
        </xdr:to>
        <xdr:sp macro="" textlink="">
          <xdr:nvSpPr>
            <xdr:cNvPr id="14339" name="CommandButton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15</xdr:row>
          <xdr:rowOff>0</xdr:rowOff>
        </xdr:from>
        <xdr:to>
          <xdr:col>4</xdr:col>
          <xdr:colOff>409575</xdr:colOff>
          <xdr:row>18</xdr:row>
          <xdr:rowOff>57150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15</xdr:row>
          <xdr:rowOff>0</xdr:rowOff>
        </xdr:from>
        <xdr:to>
          <xdr:col>10</xdr:col>
          <xdr:colOff>228600</xdr:colOff>
          <xdr:row>18</xdr:row>
          <xdr:rowOff>57150</xdr:rowOff>
        </xdr:to>
        <xdr:sp macro="" textlink="">
          <xdr:nvSpPr>
            <xdr:cNvPr id="14341" name="CommandButton5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14</xdr:row>
          <xdr:rowOff>152400</xdr:rowOff>
        </xdr:from>
        <xdr:to>
          <xdr:col>16</xdr:col>
          <xdr:colOff>114300</xdr:colOff>
          <xdr:row>18</xdr:row>
          <xdr:rowOff>19050</xdr:rowOff>
        </xdr:to>
        <xdr:sp macro="" textlink="">
          <xdr:nvSpPr>
            <xdr:cNvPr id="14342" name="CommandButton6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</xdr:row>
      <xdr:rowOff>114300</xdr:rowOff>
    </xdr:from>
    <xdr:to>
      <xdr:col>9</xdr:col>
      <xdr:colOff>276225</xdr:colOff>
      <xdr:row>17</xdr:row>
      <xdr:rowOff>133349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3</xdr:row>
      <xdr:rowOff>180975</xdr:rowOff>
    </xdr:from>
    <xdr:to>
      <xdr:col>9</xdr:col>
      <xdr:colOff>455775</xdr:colOff>
      <xdr:row>17</xdr:row>
      <xdr:rowOff>8775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676274</xdr:colOff>
      <xdr:row>4</xdr:row>
      <xdr:rowOff>47623</xdr:rowOff>
    </xdr:from>
    <xdr:to>
      <xdr:col>8</xdr:col>
      <xdr:colOff>189074</xdr:colOff>
      <xdr:row>17</xdr:row>
      <xdr:rowOff>65923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4</xdr:row>
      <xdr:rowOff>180975</xdr:rowOff>
    </xdr:from>
    <xdr:to>
      <xdr:col>8</xdr:col>
      <xdr:colOff>579600</xdr:colOff>
      <xdr:row>18</xdr:row>
      <xdr:rowOff>8775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</xdr:colOff>
      <xdr:row>4</xdr:row>
      <xdr:rowOff>152399</xdr:rowOff>
    </xdr:from>
    <xdr:to>
      <xdr:col>9</xdr:col>
      <xdr:colOff>360525</xdr:colOff>
      <xdr:row>17</xdr:row>
      <xdr:rowOff>170699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"/>
  <sheetViews>
    <sheetView tabSelected="1" workbookViewId="0">
      <selection activeCell="L2" sqref="L2"/>
    </sheetView>
  </sheetViews>
  <sheetFormatPr baseColWidth="10" defaultRowHeight="15" x14ac:dyDescent="0.25"/>
  <sheetData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autoLine="0" autoPict="0" r:id="rId5">
            <anchor moveWithCells="1">
              <from>
                <xdr:col>0</xdr:col>
                <xdr:colOff>57150</xdr:colOff>
                <xdr:row>5</xdr:row>
                <xdr:rowOff>161925</xdr:rowOff>
              </from>
              <to>
                <xdr:col>4</xdr:col>
                <xdr:colOff>371475</xdr:colOff>
                <xdr:row>9</xdr:row>
                <xdr:rowOff>28575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8" r:id="rId6" name="CommandButton2">
          <controlPr autoLine="0" autoPict="0" r:id="rId7">
            <anchor moveWithCells="1">
              <from>
                <xdr:col>5</xdr:col>
                <xdr:colOff>323850</xdr:colOff>
                <xdr:row>5</xdr:row>
                <xdr:rowOff>123825</xdr:rowOff>
              </from>
              <to>
                <xdr:col>10</xdr:col>
                <xdr:colOff>104775</xdr:colOff>
                <xdr:row>8</xdr:row>
                <xdr:rowOff>180975</xdr:rowOff>
              </to>
            </anchor>
          </controlPr>
        </control>
      </mc:Choice>
      <mc:Fallback>
        <control shapeId="14338" r:id="rId6" name="CommandButton2"/>
      </mc:Fallback>
    </mc:AlternateContent>
    <mc:AlternateContent xmlns:mc="http://schemas.openxmlformats.org/markup-compatibility/2006">
      <mc:Choice Requires="x14">
        <control shapeId="14339" r:id="rId8" name="CommandButton3">
          <controlPr autoLine="0" r:id="rId9">
            <anchor moveWithCells="1">
              <from>
                <xdr:col>11</xdr:col>
                <xdr:colOff>76200</xdr:colOff>
                <xdr:row>5</xdr:row>
                <xdr:rowOff>114300</xdr:rowOff>
              </from>
              <to>
                <xdr:col>16</xdr:col>
                <xdr:colOff>171450</xdr:colOff>
                <xdr:row>9</xdr:row>
                <xdr:rowOff>19050</xdr:rowOff>
              </to>
            </anchor>
          </controlPr>
        </control>
      </mc:Choice>
      <mc:Fallback>
        <control shapeId="14339" r:id="rId8" name="CommandButton3"/>
      </mc:Fallback>
    </mc:AlternateContent>
    <mc:AlternateContent xmlns:mc="http://schemas.openxmlformats.org/markup-compatibility/2006">
      <mc:Choice Requires="x14">
        <control shapeId="14340" r:id="rId10" name="CommandButton4">
          <controlPr autoLine="0" r:id="rId11">
            <anchor moveWithCells="1">
              <from>
                <xdr:col>0</xdr:col>
                <xdr:colOff>57150</xdr:colOff>
                <xdr:row>15</xdr:row>
                <xdr:rowOff>0</xdr:rowOff>
              </from>
              <to>
                <xdr:col>4</xdr:col>
                <xdr:colOff>409575</xdr:colOff>
                <xdr:row>18</xdr:row>
                <xdr:rowOff>57150</xdr:rowOff>
              </to>
            </anchor>
          </controlPr>
        </control>
      </mc:Choice>
      <mc:Fallback>
        <control shapeId="14340" r:id="rId10" name="CommandButton4"/>
      </mc:Fallback>
    </mc:AlternateContent>
    <mc:AlternateContent xmlns:mc="http://schemas.openxmlformats.org/markup-compatibility/2006">
      <mc:Choice Requires="x14">
        <control shapeId="14341" r:id="rId12" name="CommandButton5">
          <controlPr autoLine="0" autoPict="0" r:id="rId13">
            <anchor moveWithCells="1">
              <from>
                <xdr:col>5</xdr:col>
                <xdr:colOff>419100</xdr:colOff>
                <xdr:row>15</xdr:row>
                <xdr:rowOff>0</xdr:rowOff>
              </from>
              <to>
                <xdr:col>10</xdr:col>
                <xdr:colOff>228600</xdr:colOff>
                <xdr:row>18</xdr:row>
                <xdr:rowOff>57150</xdr:rowOff>
              </to>
            </anchor>
          </controlPr>
        </control>
      </mc:Choice>
      <mc:Fallback>
        <control shapeId="14341" r:id="rId12" name="CommandButton5"/>
      </mc:Fallback>
    </mc:AlternateContent>
    <mc:AlternateContent xmlns:mc="http://schemas.openxmlformats.org/markup-compatibility/2006">
      <mc:Choice Requires="x14">
        <control shapeId="14342" r:id="rId14" name="CommandButton6">
          <controlPr autoLine="0" r:id="rId15">
            <anchor moveWithCells="1">
              <from>
                <xdr:col>11</xdr:col>
                <xdr:colOff>209550</xdr:colOff>
                <xdr:row>14</xdr:row>
                <xdr:rowOff>152400</xdr:rowOff>
              </from>
              <to>
                <xdr:col>16</xdr:col>
                <xdr:colOff>114300</xdr:colOff>
                <xdr:row>18</xdr:row>
                <xdr:rowOff>19050</xdr:rowOff>
              </to>
            </anchor>
          </controlPr>
        </control>
      </mc:Choice>
      <mc:Fallback>
        <control shapeId="14342" r:id="rId14" name="CommandButton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G11" sqref="G11"/>
    </sheetView>
  </sheetViews>
  <sheetFormatPr baseColWidth="10" defaultRowHeight="15" x14ac:dyDescent="0.25"/>
  <cols>
    <col min="2" max="2" width="21.140625" customWidth="1"/>
    <col min="3" max="3" width="16.140625" customWidth="1"/>
    <col min="5" max="5" width="16.5703125" customWidth="1"/>
    <col min="7" max="7" width="16.140625" customWidth="1"/>
    <col min="9" max="9" width="11.7109375" customWidth="1"/>
    <col min="10" max="10" width="17.5703125" customWidth="1"/>
    <col min="11" max="11" width="18.28515625" customWidth="1"/>
    <col min="12" max="12" width="17.5703125" customWidth="1"/>
    <col min="13" max="13" width="12.7109375" customWidth="1"/>
    <col min="14" max="16" width="14.7109375" customWidth="1"/>
    <col min="17" max="17" width="15.7109375" customWidth="1"/>
    <col min="18" max="18" width="10.5703125" style="3" customWidth="1"/>
    <col min="19" max="19" width="13.7109375" customWidth="1"/>
    <col min="20" max="20" width="13.28515625" customWidth="1"/>
    <col min="21" max="21" width="14.42578125" customWidth="1"/>
    <col min="22" max="22" width="18" customWidth="1"/>
    <col min="23" max="23" width="13" customWidth="1"/>
  </cols>
  <sheetData>
    <row r="1" spans="1:22" x14ac:dyDescent="0.25">
      <c r="A1" t="s">
        <v>7</v>
      </c>
      <c r="B1" t="s">
        <v>8</v>
      </c>
      <c r="C1" t="s">
        <v>9</v>
      </c>
      <c r="D1" t="s">
        <v>10</v>
      </c>
      <c r="E1" t="s">
        <v>222</v>
      </c>
      <c r="F1" t="s">
        <v>11</v>
      </c>
      <c r="G1" t="s">
        <v>12</v>
      </c>
      <c r="H1" t="s">
        <v>13</v>
      </c>
      <c r="I1" t="s">
        <v>14</v>
      </c>
      <c r="J1" t="s">
        <v>19</v>
      </c>
      <c r="K1" t="s">
        <v>20</v>
      </c>
      <c r="L1" t="s">
        <v>22</v>
      </c>
      <c r="M1" t="s">
        <v>23</v>
      </c>
      <c r="N1" t="s">
        <v>24</v>
      </c>
      <c r="O1" t="s">
        <v>25</v>
      </c>
      <c r="P1" t="s">
        <v>26</v>
      </c>
      <c r="Q1" t="s">
        <v>15</v>
      </c>
      <c r="R1" s="3" t="s">
        <v>16</v>
      </c>
      <c r="S1" t="s">
        <v>21</v>
      </c>
      <c r="T1" t="s">
        <v>17</v>
      </c>
      <c r="U1" t="s">
        <v>27</v>
      </c>
      <c r="V1" t="s">
        <v>18</v>
      </c>
    </row>
    <row r="2" spans="1:22" x14ac:dyDescent="0.25">
      <c r="A2">
        <v>1</v>
      </c>
      <c r="B2" t="s">
        <v>28</v>
      </c>
      <c r="C2" t="s">
        <v>29</v>
      </c>
      <c r="D2" t="s">
        <v>30</v>
      </c>
      <c r="E2" s="11">
        <v>30568</v>
      </c>
      <c r="F2" t="s">
        <v>31</v>
      </c>
      <c r="G2" t="s">
        <v>3</v>
      </c>
      <c r="H2" t="s">
        <v>6</v>
      </c>
      <c r="I2" t="s">
        <v>2</v>
      </c>
      <c r="J2">
        <v>1</v>
      </c>
      <c r="K2">
        <v>3</v>
      </c>
      <c r="P2">
        <v>4</v>
      </c>
      <c r="R2" s="4"/>
      <c r="S2">
        <v>17500</v>
      </c>
      <c r="T2">
        <v>4500</v>
      </c>
      <c r="U2">
        <v>25000</v>
      </c>
    </row>
    <row r="3" spans="1:22" x14ac:dyDescent="0.25">
      <c r="A3">
        <v>2</v>
      </c>
      <c r="B3" t="s">
        <v>32</v>
      </c>
      <c r="C3" t="s">
        <v>33</v>
      </c>
      <c r="D3" t="s">
        <v>34</v>
      </c>
      <c r="E3" s="12" t="s">
        <v>223</v>
      </c>
      <c r="F3" t="s">
        <v>35</v>
      </c>
      <c r="G3" t="s">
        <v>3</v>
      </c>
      <c r="H3" t="s">
        <v>6</v>
      </c>
      <c r="I3" t="s">
        <v>5</v>
      </c>
      <c r="J3">
        <v>0</v>
      </c>
      <c r="K3">
        <v>0</v>
      </c>
      <c r="M3">
        <v>8</v>
      </c>
      <c r="N3">
        <v>4</v>
      </c>
      <c r="P3">
        <v>3</v>
      </c>
      <c r="Q3">
        <v>15000</v>
      </c>
      <c r="R3" s="4"/>
      <c r="S3">
        <v>12500</v>
      </c>
    </row>
    <row r="4" spans="1:22" x14ac:dyDescent="0.25">
      <c r="A4">
        <v>3</v>
      </c>
      <c r="B4" t="s">
        <v>36</v>
      </c>
      <c r="C4" t="s">
        <v>37</v>
      </c>
      <c r="D4" t="s">
        <v>38</v>
      </c>
      <c r="E4" s="2" t="s">
        <v>224</v>
      </c>
      <c r="F4" t="s">
        <v>39</v>
      </c>
      <c r="G4" t="s">
        <v>3</v>
      </c>
      <c r="H4" t="s">
        <v>6</v>
      </c>
      <c r="I4" t="s">
        <v>2</v>
      </c>
      <c r="J4">
        <v>2</v>
      </c>
      <c r="K4">
        <v>6</v>
      </c>
      <c r="O4">
        <v>6</v>
      </c>
      <c r="P4">
        <v>2</v>
      </c>
      <c r="R4" s="4"/>
      <c r="S4">
        <v>20000</v>
      </c>
      <c r="T4">
        <v>5000</v>
      </c>
    </row>
    <row r="5" spans="1:22" x14ac:dyDescent="0.25">
      <c r="A5">
        <v>4</v>
      </c>
      <c r="B5" t="s">
        <v>40</v>
      </c>
      <c r="C5" t="s">
        <v>41</v>
      </c>
      <c r="D5" t="s">
        <v>42</v>
      </c>
      <c r="E5" s="2">
        <v>29273</v>
      </c>
      <c r="F5" t="s">
        <v>43</v>
      </c>
      <c r="G5" t="s">
        <v>3</v>
      </c>
      <c r="H5" t="s">
        <v>1</v>
      </c>
      <c r="I5" t="s">
        <v>2</v>
      </c>
      <c r="J5">
        <v>1</v>
      </c>
      <c r="K5">
        <v>1</v>
      </c>
      <c r="M5">
        <v>8</v>
      </c>
      <c r="N5">
        <v>4</v>
      </c>
      <c r="R5" s="4"/>
      <c r="S5">
        <v>20000</v>
      </c>
      <c r="T5">
        <v>5000</v>
      </c>
    </row>
    <row r="6" spans="1:22" x14ac:dyDescent="0.25">
      <c r="A6">
        <v>5</v>
      </c>
      <c r="B6" t="s">
        <v>44</v>
      </c>
      <c r="C6" t="s">
        <v>45</v>
      </c>
      <c r="D6" t="s">
        <v>46</v>
      </c>
      <c r="E6" s="2" t="s">
        <v>225</v>
      </c>
      <c r="F6" t="s">
        <v>47</v>
      </c>
      <c r="G6" t="s">
        <v>3</v>
      </c>
      <c r="H6" t="s">
        <v>1</v>
      </c>
      <c r="I6" t="s">
        <v>5</v>
      </c>
      <c r="J6">
        <v>0</v>
      </c>
      <c r="K6">
        <v>1</v>
      </c>
      <c r="L6">
        <v>15000</v>
      </c>
      <c r="M6">
        <v>8</v>
      </c>
      <c r="N6">
        <v>4</v>
      </c>
      <c r="O6">
        <v>4</v>
      </c>
      <c r="P6">
        <v>2</v>
      </c>
      <c r="R6" s="4">
        <v>35000</v>
      </c>
      <c r="T6">
        <v>3500</v>
      </c>
      <c r="U6">
        <v>3000</v>
      </c>
      <c r="V6">
        <v>2000</v>
      </c>
    </row>
    <row r="7" spans="1:22" x14ac:dyDescent="0.25">
      <c r="A7">
        <v>6</v>
      </c>
      <c r="B7" t="s">
        <v>48</v>
      </c>
      <c r="C7" t="s">
        <v>49</v>
      </c>
      <c r="D7" t="s">
        <v>50</v>
      </c>
      <c r="E7" s="2">
        <v>29138</v>
      </c>
      <c r="F7" t="s">
        <v>51</v>
      </c>
      <c r="G7" t="s">
        <v>3</v>
      </c>
      <c r="H7" t="s">
        <v>1</v>
      </c>
      <c r="I7" t="s">
        <v>5</v>
      </c>
      <c r="J7">
        <v>0</v>
      </c>
      <c r="K7">
        <v>0</v>
      </c>
      <c r="R7" s="4"/>
      <c r="T7">
        <v>2500</v>
      </c>
    </row>
    <row r="8" spans="1:22" x14ac:dyDescent="0.25">
      <c r="A8">
        <v>7</v>
      </c>
      <c r="B8" t="s">
        <v>52</v>
      </c>
      <c r="C8" t="s">
        <v>226</v>
      </c>
      <c r="D8" t="s">
        <v>54</v>
      </c>
      <c r="E8" s="2" t="s">
        <v>227</v>
      </c>
      <c r="F8" t="s">
        <v>55</v>
      </c>
      <c r="G8" t="s">
        <v>4</v>
      </c>
      <c r="H8" t="s">
        <v>0</v>
      </c>
      <c r="I8" t="s">
        <v>2</v>
      </c>
      <c r="J8">
        <v>0</v>
      </c>
      <c r="K8">
        <v>4</v>
      </c>
      <c r="Q8">
        <v>10000</v>
      </c>
      <c r="R8" s="4">
        <v>60000</v>
      </c>
    </row>
    <row r="9" spans="1:22" x14ac:dyDescent="0.25">
      <c r="A9">
        <v>8</v>
      </c>
      <c r="B9" t="s">
        <v>56</v>
      </c>
      <c r="C9" t="s">
        <v>57</v>
      </c>
      <c r="D9" t="s">
        <v>58</v>
      </c>
      <c r="E9" s="2" t="s">
        <v>228</v>
      </c>
      <c r="F9" t="s">
        <v>31</v>
      </c>
      <c r="G9" t="s">
        <v>4</v>
      </c>
      <c r="H9" t="s">
        <v>0</v>
      </c>
      <c r="I9" t="s">
        <v>5</v>
      </c>
      <c r="J9">
        <v>0</v>
      </c>
      <c r="K9">
        <v>0</v>
      </c>
      <c r="R9" s="4"/>
      <c r="T9">
        <v>3000</v>
      </c>
    </row>
    <row r="10" spans="1:22" x14ac:dyDescent="0.25">
      <c r="A10">
        <v>9</v>
      </c>
      <c r="B10" t="s">
        <v>59</v>
      </c>
      <c r="C10" t="s">
        <v>229</v>
      </c>
      <c r="D10" t="s">
        <v>58</v>
      </c>
      <c r="E10" s="2">
        <v>29260</v>
      </c>
      <c r="F10" t="s">
        <v>55</v>
      </c>
      <c r="G10" t="s">
        <v>3</v>
      </c>
      <c r="H10" t="s">
        <v>0</v>
      </c>
      <c r="I10" t="s">
        <v>2</v>
      </c>
      <c r="J10">
        <v>3</v>
      </c>
      <c r="K10">
        <v>8</v>
      </c>
      <c r="R10" s="4">
        <v>37500</v>
      </c>
      <c r="T10">
        <v>3000</v>
      </c>
      <c r="U10">
        <v>55000</v>
      </c>
    </row>
    <row r="11" spans="1:22" x14ac:dyDescent="0.25">
      <c r="A11">
        <v>10</v>
      </c>
      <c r="B11" t="s">
        <v>61</v>
      </c>
      <c r="C11" t="s">
        <v>62</v>
      </c>
      <c r="D11" t="s">
        <v>63</v>
      </c>
      <c r="E11" s="2">
        <v>27977</v>
      </c>
      <c r="F11" t="s">
        <v>64</v>
      </c>
      <c r="G11" t="s">
        <v>3</v>
      </c>
      <c r="H11" t="s">
        <v>0</v>
      </c>
      <c r="I11" t="s">
        <v>5</v>
      </c>
      <c r="J11">
        <v>0</v>
      </c>
      <c r="K11">
        <v>0</v>
      </c>
      <c r="Q11">
        <v>50000</v>
      </c>
      <c r="R11" s="4"/>
    </row>
    <row r="12" spans="1:22" x14ac:dyDescent="0.25">
      <c r="A12">
        <v>11</v>
      </c>
      <c r="B12" t="s">
        <v>65</v>
      </c>
      <c r="C12" t="s">
        <v>66</v>
      </c>
      <c r="D12" t="s">
        <v>67</v>
      </c>
      <c r="E12" s="2" t="s">
        <v>230</v>
      </c>
      <c r="F12" t="s">
        <v>231</v>
      </c>
      <c r="G12" t="s">
        <v>4</v>
      </c>
      <c r="H12" t="s">
        <v>6</v>
      </c>
      <c r="I12" t="s">
        <v>5</v>
      </c>
      <c r="J12">
        <v>0</v>
      </c>
      <c r="K12">
        <v>0</v>
      </c>
      <c r="M12">
        <v>8</v>
      </c>
      <c r="O12">
        <v>3</v>
      </c>
      <c r="P12">
        <v>2</v>
      </c>
      <c r="R12" s="4"/>
      <c r="S12">
        <v>25000</v>
      </c>
      <c r="T12">
        <v>3000</v>
      </c>
    </row>
    <row r="13" spans="1:22" x14ac:dyDescent="0.25">
      <c r="A13">
        <v>12</v>
      </c>
      <c r="B13" t="s">
        <v>69</v>
      </c>
      <c r="C13" t="s">
        <v>70</v>
      </c>
      <c r="D13" t="s">
        <v>71</v>
      </c>
      <c r="E13" s="2" t="s">
        <v>232</v>
      </c>
      <c r="F13" t="s">
        <v>72</v>
      </c>
      <c r="G13" t="s">
        <v>3</v>
      </c>
      <c r="H13" t="s">
        <v>6</v>
      </c>
      <c r="I13" t="s">
        <v>5</v>
      </c>
      <c r="J13">
        <v>0</v>
      </c>
      <c r="K13">
        <v>0</v>
      </c>
      <c r="O13">
        <v>2</v>
      </c>
      <c r="R13" s="4"/>
      <c r="U13">
        <v>17500</v>
      </c>
    </row>
    <row r="14" spans="1:22" x14ac:dyDescent="0.25">
      <c r="A14">
        <v>13</v>
      </c>
      <c r="B14" t="s">
        <v>73</v>
      </c>
      <c r="C14" t="s">
        <v>74</v>
      </c>
      <c r="D14" t="s">
        <v>75</v>
      </c>
      <c r="E14" s="2" t="s">
        <v>233</v>
      </c>
      <c r="F14" t="s">
        <v>76</v>
      </c>
      <c r="G14" t="s">
        <v>4</v>
      </c>
      <c r="H14" t="s">
        <v>6</v>
      </c>
      <c r="I14" t="s">
        <v>5</v>
      </c>
      <c r="J14">
        <v>0</v>
      </c>
      <c r="K14">
        <v>1</v>
      </c>
      <c r="M14">
        <v>8</v>
      </c>
      <c r="N14">
        <v>5</v>
      </c>
      <c r="O14">
        <v>3</v>
      </c>
      <c r="P14">
        <v>3</v>
      </c>
      <c r="R14" s="4"/>
      <c r="S14">
        <v>17000</v>
      </c>
      <c r="T14">
        <v>3000</v>
      </c>
      <c r="V14">
        <v>15000</v>
      </c>
    </row>
    <row r="15" spans="1:22" x14ac:dyDescent="0.25">
      <c r="A15">
        <v>14</v>
      </c>
      <c r="B15" t="s">
        <v>77</v>
      </c>
      <c r="C15" t="s">
        <v>78</v>
      </c>
      <c r="D15" t="s">
        <v>79</v>
      </c>
      <c r="E15" s="2" t="s">
        <v>234</v>
      </c>
      <c r="F15" t="s">
        <v>80</v>
      </c>
      <c r="G15" t="s">
        <v>3</v>
      </c>
      <c r="H15" t="s">
        <v>6</v>
      </c>
      <c r="I15" t="s">
        <v>5</v>
      </c>
      <c r="J15">
        <v>0</v>
      </c>
      <c r="K15">
        <v>0</v>
      </c>
      <c r="R15" s="4"/>
      <c r="T15">
        <v>2500</v>
      </c>
    </row>
    <row r="16" spans="1:22" x14ac:dyDescent="0.25">
      <c r="A16">
        <v>15</v>
      </c>
      <c r="B16" t="s">
        <v>81</v>
      </c>
      <c r="C16" t="s">
        <v>82</v>
      </c>
      <c r="D16" t="s">
        <v>79</v>
      </c>
      <c r="E16" s="2" t="s">
        <v>235</v>
      </c>
      <c r="F16" t="s">
        <v>80</v>
      </c>
      <c r="G16" t="s">
        <v>3</v>
      </c>
      <c r="H16" t="s">
        <v>1</v>
      </c>
      <c r="I16" t="s">
        <v>5</v>
      </c>
      <c r="J16">
        <v>0</v>
      </c>
      <c r="K16">
        <v>0</v>
      </c>
      <c r="N16">
        <v>5</v>
      </c>
      <c r="O16">
        <v>5</v>
      </c>
      <c r="R16" s="4"/>
    </row>
    <row r="17" spans="1:21" x14ac:dyDescent="0.25">
      <c r="A17">
        <v>16</v>
      </c>
      <c r="B17" t="s">
        <v>83</v>
      </c>
      <c r="C17" t="s">
        <v>84</v>
      </c>
      <c r="D17" t="s">
        <v>85</v>
      </c>
      <c r="E17" s="2" t="s">
        <v>236</v>
      </c>
      <c r="F17" t="s">
        <v>86</v>
      </c>
      <c r="G17" t="s">
        <v>3</v>
      </c>
      <c r="H17" t="s">
        <v>1</v>
      </c>
      <c r="I17" t="s">
        <v>2</v>
      </c>
      <c r="J17">
        <v>1</v>
      </c>
      <c r="K17">
        <v>4</v>
      </c>
      <c r="M17">
        <v>8</v>
      </c>
      <c r="P17">
        <v>6</v>
      </c>
      <c r="Q17">
        <v>10000</v>
      </c>
      <c r="R17" s="4"/>
    </row>
    <row r="18" spans="1:21" x14ac:dyDescent="0.25">
      <c r="A18">
        <v>17</v>
      </c>
      <c r="B18" t="s">
        <v>87</v>
      </c>
      <c r="C18" t="s">
        <v>88</v>
      </c>
      <c r="D18" t="s">
        <v>85</v>
      </c>
      <c r="E18" s="2" t="s">
        <v>237</v>
      </c>
      <c r="F18" t="s">
        <v>89</v>
      </c>
      <c r="G18" t="s">
        <v>3</v>
      </c>
      <c r="H18" t="s">
        <v>1</v>
      </c>
      <c r="I18" t="s">
        <v>2</v>
      </c>
      <c r="J18">
        <v>1</v>
      </c>
      <c r="K18">
        <v>3</v>
      </c>
      <c r="N18">
        <v>2</v>
      </c>
      <c r="O18">
        <v>5</v>
      </c>
      <c r="R18" s="4"/>
      <c r="U18">
        <v>20000</v>
      </c>
    </row>
    <row r="19" spans="1:21" x14ac:dyDescent="0.25">
      <c r="A19">
        <v>18</v>
      </c>
      <c r="B19" t="s">
        <v>90</v>
      </c>
      <c r="C19" t="s">
        <v>91</v>
      </c>
      <c r="D19" t="s">
        <v>92</v>
      </c>
      <c r="E19" s="2" t="s">
        <v>238</v>
      </c>
      <c r="F19" t="s">
        <v>93</v>
      </c>
      <c r="G19" t="s">
        <v>3</v>
      </c>
      <c r="H19" t="s">
        <v>0</v>
      </c>
      <c r="I19" t="s">
        <v>2</v>
      </c>
      <c r="J19">
        <v>2</v>
      </c>
      <c r="K19">
        <v>7</v>
      </c>
      <c r="Q19">
        <v>10000</v>
      </c>
      <c r="R19" s="4">
        <v>65000</v>
      </c>
      <c r="U19">
        <v>15000</v>
      </c>
    </row>
    <row r="20" spans="1:21" x14ac:dyDescent="0.25">
      <c r="A20">
        <v>19</v>
      </c>
      <c r="B20" t="s">
        <v>94</v>
      </c>
      <c r="C20" t="s">
        <v>95</v>
      </c>
      <c r="D20" t="s">
        <v>96</v>
      </c>
      <c r="E20" s="2" t="s">
        <v>239</v>
      </c>
      <c r="F20" t="s">
        <v>97</v>
      </c>
      <c r="G20" t="s">
        <v>3</v>
      </c>
      <c r="H20" t="s">
        <v>1</v>
      </c>
      <c r="I20" t="s">
        <v>2</v>
      </c>
      <c r="J20">
        <v>1</v>
      </c>
      <c r="K20">
        <v>1</v>
      </c>
      <c r="P20">
        <v>8</v>
      </c>
      <c r="R20" s="4"/>
      <c r="T20">
        <v>3000</v>
      </c>
    </row>
    <row r="21" spans="1:21" x14ac:dyDescent="0.25">
      <c r="A21">
        <v>20</v>
      </c>
      <c r="B21" t="s">
        <v>98</v>
      </c>
      <c r="C21" t="s">
        <v>99</v>
      </c>
      <c r="D21" t="s">
        <v>96</v>
      </c>
      <c r="E21" s="2" t="s">
        <v>240</v>
      </c>
      <c r="F21" t="s">
        <v>100</v>
      </c>
      <c r="G21" t="s">
        <v>3</v>
      </c>
      <c r="H21" t="s">
        <v>6</v>
      </c>
      <c r="I21" t="s">
        <v>2</v>
      </c>
      <c r="J21">
        <v>1</v>
      </c>
      <c r="K21">
        <v>3</v>
      </c>
      <c r="L21">
        <v>13500</v>
      </c>
      <c r="M21">
        <v>8</v>
      </c>
      <c r="N21">
        <v>3</v>
      </c>
      <c r="R21" s="4"/>
      <c r="T21">
        <v>2500</v>
      </c>
    </row>
    <row r="22" spans="1:21" x14ac:dyDescent="0.25">
      <c r="A22">
        <v>21</v>
      </c>
      <c r="B22" t="s">
        <v>101</v>
      </c>
      <c r="C22" t="s">
        <v>102</v>
      </c>
      <c r="D22" t="s">
        <v>103</v>
      </c>
      <c r="E22" s="2">
        <v>28924</v>
      </c>
      <c r="F22" t="s">
        <v>104</v>
      </c>
      <c r="G22" t="s">
        <v>3</v>
      </c>
      <c r="H22" t="s">
        <v>6</v>
      </c>
      <c r="I22" t="s">
        <v>2</v>
      </c>
      <c r="J22">
        <v>2</v>
      </c>
      <c r="K22">
        <v>4</v>
      </c>
      <c r="M22">
        <v>8</v>
      </c>
      <c r="N22">
        <v>4</v>
      </c>
      <c r="O22">
        <v>4</v>
      </c>
      <c r="P22">
        <v>6</v>
      </c>
      <c r="R22" s="4"/>
      <c r="S22">
        <v>20000</v>
      </c>
    </row>
    <row r="23" spans="1:21" x14ac:dyDescent="0.25">
      <c r="A23">
        <v>22</v>
      </c>
      <c r="B23" t="s">
        <v>105</v>
      </c>
      <c r="C23" t="s">
        <v>106</v>
      </c>
      <c r="D23" t="s">
        <v>103</v>
      </c>
      <c r="E23" s="2">
        <v>30263</v>
      </c>
      <c r="F23" t="s">
        <v>107</v>
      </c>
      <c r="G23" t="s">
        <v>4</v>
      </c>
      <c r="H23" t="s">
        <v>6</v>
      </c>
      <c r="I23" t="s">
        <v>2</v>
      </c>
      <c r="J23">
        <v>0</v>
      </c>
      <c r="K23">
        <v>3</v>
      </c>
      <c r="Q23">
        <v>10000</v>
      </c>
      <c r="R23" s="4"/>
    </row>
    <row r="24" spans="1:21" x14ac:dyDescent="0.25">
      <c r="A24">
        <v>23</v>
      </c>
      <c r="B24" t="s">
        <v>108</v>
      </c>
      <c r="C24" t="s">
        <v>109</v>
      </c>
      <c r="D24" t="s">
        <v>110</v>
      </c>
      <c r="E24" s="2">
        <v>27489</v>
      </c>
      <c r="F24" t="s">
        <v>111</v>
      </c>
      <c r="G24" t="s">
        <v>3</v>
      </c>
      <c r="H24" t="s">
        <v>1</v>
      </c>
      <c r="I24" t="s">
        <v>2</v>
      </c>
      <c r="J24">
        <v>2</v>
      </c>
      <c r="K24">
        <v>5</v>
      </c>
      <c r="O24">
        <v>3</v>
      </c>
      <c r="Q24">
        <v>6</v>
      </c>
      <c r="R24" s="4">
        <v>50000</v>
      </c>
    </row>
    <row r="25" spans="1:21" x14ac:dyDescent="0.25">
      <c r="A25">
        <v>24</v>
      </c>
      <c r="B25" t="s">
        <v>112</v>
      </c>
      <c r="C25" t="s">
        <v>113</v>
      </c>
      <c r="D25" t="s">
        <v>114</v>
      </c>
      <c r="E25" s="2" t="s">
        <v>241</v>
      </c>
      <c r="F25" t="s">
        <v>115</v>
      </c>
      <c r="G25" t="s">
        <v>3</v>
      </c>
      <c r="H25" t="s">
        <v>1</v>
      </c>
      <c r="I25" t="s">
        <v>2</v>
      </c>
      <c r="J25">
        <v>1</v>
      </c>
      <c r="K25">
        <v>0</v>
      </c>
      <c r="M25">
        <v>8</v>
      </c>
      <c r="N25">
        <v>5</v>
      </c>
      <c r="O25">
        <v>2</v>
      </c>
      <c r="Q25">
        <v>10000</v>
      </c>
      <c r="R25" s="4"/>
      <c r="T25">
        <v>2500</v>
      </c>
    </row>
    <row r="26" spans="1:21" x14ac:dyDescent="0.25">
      <c r="A26">
        <v>25</v>
      </c>
      <c r="B26" t="s">
        <v>116</v>
      </c>
      <c r="C26" t="s">
        <v>117</v>
      </c>
      <c r="D26" t="s">
        <v>114</v>
      </c>
      <c r="E26" s="2">
        <v>28525</v>
      </c>
      <c r="F26" t="s">
        <v>242</v>
      </c>
      <c r="G26" t="s">
        <v>4</v>
      </c>
      <c r="H26" t="s">
        <v>1</v>
      </c>
      <c r="I26" t="s">
        <v>5</v>
      </c>
      <c r="J26">
        <v>0</v>
      </c>
      <c r="K26">
        <v>0</v>
      </c>
      <c r="N26">
        <v>4</v>
      </c>
      <c r="P26">
        <v>5</v>
      </c>
      <c r="R26" s="4"/>
      <c r="T26">
        <v>3000</v>
      </c>
      <c r="U26">
        <v>30000</v>
      </c>
    </row>
    <row r="27" spans="1:21" x14ac:dyDescent="0.25">
      <c r="A27">
        <v>26</v>
      </c>
      <c r="B27" t="s">
        <v>119</v>
      </c>
      <c r="C27" t="s">
        <v>120</v>
      </c>
      <c r="D27" t="s">
        <v>121</v>
      </c>
      <c r="E27" s="2" t="s">
        <v>243</v>
      </c>
      <c r="F27" t="s">
        <v>122</v>
      </c>
      <c r="G27" t="s">
        <v>3</v>
      </c>
      <c r="H27" t="s">
        <v>1</v>
      </c>
      <c r="I27" t="s">
        <v>5</v>
      </c>
      <c r="J27">
        <v>0</v>
      </c>
      <c r="K27">
        <v>0</v>
      </c>
      <c r="L27">
        <v>12000</v>
      </c>
      <c r="M27">
        <v>8</v>
      </c>
      <c r="N27">
        <v>4</v>
      </c>
      <c r="O27">
        <v>5</v>
      </c>
      <c r="P27">
        <v>7</v>
      </c>
      <c r="R27" s="4"/>
    </row>
    <row r="28" spans="1:21" x14ac:dyDescent="0.25">
      <c r="A28">
        <v>27</v>
      </c>
      <c r="B28" t="s">
        <v>123</v>
      </c>
      <c r="C28" t="s">
        <v>84</v>
      </c>
      <c r="D28" t="s">
        <v>124</v>
      </c>
      <c r="E28" s="2" t="s">
        <v>244</v>
      </c>
      <c r="F28" t="s">
        <v>125</v>
      </c>
      <c r="G28" t="s">
        <v>3</v>
      </c>
      <c r="H28" t="s">
        <v>0</v>
      </c>
      <c r="I28" t="s">
        <v>2</v>
      </c>
      <c r="J28">
        <v>0</v>
      </c>
      <c r="K28">
        <v>0</v>
      </c>
      <c r="R28" s="4">
        <v>15000</v>
      </c>
      <c r="T28">
        <v>3000</v>
      </c>
    </row>
    <row r="29" spans="1:21" x14ac:dyDescent="0.25">
      <c r="A29">
        <v>28</v>
      </c>
      <c r="B29" t="s">
        <v>126</v>
      </c>
      <c r="C29" t="s">
        <v>127</v>
      </c>
      <c r="D29" t="s">
        <v>128</v>
      </c>
      <c r="E29" s="2">
        <v>29901</v>
      </c>
      <c r="F29" t="s">
        <v>129</v>
      </c>
      <c r="G29" t="s">
        <v>3</v>
      </c>
      <c r="H29" t="s">
        <v>6</v>
      </c>
      <c r="I29" t="s">
        <v>5</v>
      </c>
      <c r="J29">
        <v>0</v>
      </c>
      <c r="K29">
        <v>0</v>
      </c>
      <c r="M29">
        <v>8</v>
      </c>
      <c r="N29">
        <v>2</v>
      </c>
      <c r="P29">
        <v>5</v>
      </c>
      <c r="R29" s="4"/>
      <c r="T29">
        <v>2500</v>
      </c>
    </row>
    <row r="30" spans="1:21" x14ac:dyDescent="0.25">
      <c r="A30">
        <v>29</v>
      </c>
      <c r="B30" t="s">
        <v>130</v>
      </c>
      <c r="C30" t="s">
        <v>131</v>
      </c>
      <c r="D30" t="s">
        <v>132</v>
      </c>
      <c r="E30" s="2">
        <v>31083</v>
      </c>
      <c r="F30" t="s">
        <v>133</v>
      </c>
      <c r="G30" t="s">
        <v>4</v>
      </c>
      <c r="H30" t="s">
        <v>0</v>
      </c>
      <c r="I30" t="s">
        <v>2</v>
      </c>
      <c r="J30">
        <v>0</v>
      </c>
      <c r="K30">
        <v>2</v>
      </c>
      <c r="Q30">
        <v>10000</v>
      </c>
      <c r="R30" s="4">
        <v>17500</v>
      </c>
    </row>
    <row r="31" spans="1:21" x14ac:dyDescent="0.25">
      <c r="A31">
        <v>30</v>
      </c>
      <c r="B31" t="s">
        <v>134</v>
      </c>
      <c r="C31" t="s">
        <v>135</v>
      </c>
      <c r="D31" t="s">
        <v>136</v>
      </c>
      <c r="E31" s="2" t="s">
        <v>245</v>
      </c>
      <c r="F31" t="s">
        <v>137</v>
      </c>
      <c r="G31" t="s">
        <v>3</v>
      </c>
      <c r="H31" t="s">
        <v>0</v>
      </c>
      <c r="I31" t="s">
        <v>2</v>
      </c>
      <c r="J31">
        <v>3</v>
      </c>
      <c r="K31">
        <v>7</v>
      </c>
      <c r="Q31">
        <v>8000</v>
      </c>
      <c r="R31" s="4"/>
      <c r="T31">
        <v>3000</v>
      </c>
      <c r="U31">
        <v>12500</v>
      </c>
    </row>
    <row r="32" spans="1:21" x14ac:dyDescent="0.25">
      <c r="A32">
        <v>31</v>
      </c>
      <c r="B32" t="s">
        <v>138</v>
      </c>
      <c r="C32" t="s">
        <v>139</v>
      </c>
      <c r="D32" t="s">
        <v>140</v>
      </c>
      <c r="E32" s="2" t="s">
        <v>240</v>
      </c>
      <c r="F32" t="s">
        <v>141</v>
      </c>
      <c r="G32" t="s">
        <v>3</v>
      </c>
      <c r="H32" t="s">
        <v>0</v>
      </c>
      <c r="I32" t="s">
        <v>2</v>
      </c>
      <c r="J32">
        <v>1</v>
      </c>
      <c r="K32">
        <v>5</v>
      </c>
      <c r="R32" s="4">
        <v>10000</v>
      </c>
      <c r="S32">
        <v>20000</v>
      </c>
    </row>
    <row r="33" spans="1:22" x14ac:dyDescent="0.25">
      <c r="A33">
        <v>32</v>
      </c>
      <c r="B33" t="s">
        <v>142</v>
      </c>
      <c r="C33" t="s">
        <v>143</v>
      </c>
      <c r="D33" t="s">
        <v>144</v>
      </c>
      <c r="E33" s="2">
        <v>31110</v>
      </c>
      <c r="F33" t="s">
        <v>145</v>
      </c>
      <c r="G33" t="s">
        <v>3</v>
      </c>
      <c r="H33" t="s">
        <v>6</v>
      </c>
      <c r="I33" t="s">
        <v>2</v>
      </c>
      <c r="J33">
        <v>1</v>
      </c>
      <c r="K33">
        <v>3</v>
      </c>
      <c r="M33">
        <v>8</v>
      </c>
      <c r="P33">
        <v>3</v>
      </c>
      <c r="R33" s="4"/>
      <c r="T33">
        <v>3000</v>
      </c>
    </row>
    <row r="34" spans="1:22" x14ac:dyDescent="0.25">
      <c r="A34">
        <v>33</v>
      </c>
      <c r="B34" t="s">
        <v>246</v>
      </c>
      <c r="C34" t="s">
        <v>147</v>
      </c>
      <c r="D34" t="s">
        <v>148</v>
      </c>
      <c r="E34" s="2">
        <v>28377</v>
      </c>
      <c r="F34" t="s">
        <v>149</v>
      </c>
      <c r="G34" t="s">
        <v>3</v>
      </c>
      <c r="H34" t="s">
        <v>6</v>
      </c>
      <c r="I34" t="s">
        <v>2</v>
      </c>
      <c r="J34">
        <v>1</v>
      </c>
      <c r="K34">
        <v>4</v>
      </c>
      <c r="P34">
        <v>6</v>
      </c>
      <c r="R34" s="4"/>
      <c r="T34">
        <v>3000</v>
      </c>
    </row>
    <row r="35" spans="1:22" x14ac:dyDescent="0.25">
      <c r="A35">
        <v>34</v>
      </c>
      <c r="B35" t="s">
        <v>150</v>
      </c>
      <c r="C35" t="s">
        <v>151</v>
      </c>
      <c r="D35" t="s">
        <v>152</v>
      </c>
      <c r="E35" s="2">
        <v>27672</v>
      </c>
      <c r="F35" t="s">
        <v>153</v>
      </c>
      <c r="G35" t="s">
        <v>4</v>
      </c>
      <c r="H35" t="s">
        <v>6</v>
      </c>
      <c r="I35" t="s">
        <v>2</v>
      </c>
      <c r="J35">
        <v>0</v>
      </c>
      <c r="K35">
        <v>2</v>
      </c>
      <c r="M35">
        <v>8</v>
      </c>
      <c r="R35" s="4">
        <v>14500</v>
      </c>
      <c r="S35">
        <v>25000</v>
      </c>
      <c r="U35">
        <v>10000</v>
      </c>
    </row>
    <row r="36" spans="1:22" x14ac:dyDescent="0.25">
      <c r="A36">
        <v>35</v>
      </c>
      <c r="B36" t="s">
        <v>154</v>
      </c>
      <c r="C36" t="s">
        <v>155</v>
      </c>
      <c r="D36" t="s">
        <v>156</v>
      </c>
      <c r="E36" s="2" t="s">
        <v>247</v>
      </c>
      <c r="F36" t="s">
        <v>157</v>
      </c>
      <c r="G36" t="s">
        <v>3</v>
      </c>
      <c r="H36" t="s">
        <v>6</v>
      </c>
      <c r="I36" t="s">
        <v>2</v>
      </c>
      <c r="J36">
        <v>2</v>
      </c>
      <c r="K36">
        <v>4</v>
      </c>
      <c r="P36">
        <v>2</v>
      </c>
      <c r="R36" s="4"/>
    </row>
    <row r="37" spans="1:22" x14ac:dyDescent="0.25">
      <c r="A37">
        <v>36</v>
      </c>
      <c r="B37" t="s">
        <v>158</v>
      </c>
      <c r="C37" t="s">
        <v>159</v>
      </c>
      <c r="D37" t="s">
        <v>160</v>
      </c>
      <c r="E37" s="2" t="s">
        <v>248</v>
      </c>
      <c r="F37" t="s">
        <v>161</v>
      </c>
      <c r="G37" t="s">
        <v>3</v>
      </c>
      <c r="H37" t="s">
        <v>6</v>
      </c>
      <c r="I37" t="s">
        <v>2</v>
      </c>
      <c r="J37">
        <v>1</v>
      </c>
      <c r="K37">
        <v>6</v>
      </c>
      <c r="P37">
        <v>4</v>
      </c>
      <c r="R37" s="4"/>
      <c r="U37">
        <v>13000</v>
      </c>
    </row>
    <row r="38" spans="1:22" x14ac:dyDescent="0.25">
      <c r="A38">
        <v>37</v>
      </c>
      <c r="B38" t="s">
        <v>162</v>
      </c>
      <c r="C38" t="s">
        <v>144</v>
      </c>
      <c r="D38" t="s">
        <v>163</v>
      </c>
      <c r="E38" s="2">
        <v>28501</v>
      </c>
      <c r="F38" t="s">
        <v>68</v>
      </c>
      <c r="G38" t="s">
        <v>3</v>
      </c>
      <c r="H38" t="s">
        <v>1</v>
      </c>
      <c r="I38" t="s">
        <v>5</v>
      </c>
      <c r="J38">
        <v>0</v>
      </c>
      <c r="K38">
        <v>0</v>
      </c>
      <c r="L38">
        <v>10000</v>
      </c>
      <c r="R38" s="4"/>
      <c r="T38">
        <v>3000</v>
      </c>
    </row>
    <row r="39" spans="1:22" x14ac:dyDescent="0.25">
      <c r="A39">
        <v>38</v>
      </c>
      <c r="B39" t="s">
        <v>164</v>
      </c>
      <c r="C39" t="s">
        <v>165</v>
      </c>
      <c r="D39" t="s">
        <v>163</v>
      </c>
      <c r="E39" s="2" t="s">
        <v>249</v>
      </c>
      <c r="F39" t="s">
        <v>72</v>
      </c>
      <c r="G39" t="s">
        <v>3</v>
      </c>
      <c r="H39" t="s">
        <v>0</v>
      </c>
      <c r="I39" t="s">
        <v>5</v>
      </c>
      <c r="J39">
        <v>0</v>
      </c>
      <c r="K39">
        <v>0</v>
      </c>
      <c r="Q39">
        <v>10000</v>
      </c>
      <c r="R39" s="4">
        <v>15000</v>
      </c>
      <c r="U39">
        <v>10000</v>
      </c>
    </row>
    <row r="40" spans="1:22" x14ac:dyDescent="0.25">
      <c r="A40">
        <v>39</v>
      </c>
      <c r="B40" t="s">
        <v>166</v>
      </c>
      <c r="C40" t="s">
        <v>167</v>
      </c>
      <c r="D40" t="s">
        <v>168</v>
      </c>
      <c r="E40" s="2" t="s">
        <v>250</v>
      </c>
      <c r="F40" t="s">
        <v>51</v>
      </c>
      <c r="G40" t="s">
        <v>4</v>
      </c>
      <c r="H40" t="s">
        <v>1</v>
      </c>
      <c r="I40" t="s">
        <v>5</v>
      </c>
      <c r="J40">
        <v>0</v>
      </c>
      <c r="K40">
        <v>0</v>
      </c>
      <c r="R40" s="4"/>
    </row>
    <row r="41" spans="1:22" x14ac:dyDescent="0.25">
      <c r="A41">
        <v>40</v>
      </c>
      <c r="B41" t="s">
        <v>169</v>
      </c>
      <c r="C41" t="s">
        <v>170</v>
      </c>
      <c r="D41" t="s">
        <v>168</v>
      </c>
      <c r="E41" s="2" t="s">
        <v>251</v>
      </c>
      <c r="F41" t="s">
        <v>43</v>
      </c>
      <c r="G41" t="s">
        <v>4</v>
      </c>
      <c r="H41" t="s">
        <v>1</v>
      </c>
      <c r="I41" t="s">
        <v>5</v>
      </c>
      <c r="J41">
        <v>0</v>
      </c>
      <c r="K41">
        <v>0</v>
      </c>
      <c r="M41">
        <v>8</v>
      </c>
      <c r="N41">
        <v>5</v>
      </c>
      <c r="R41" s="4"/>
      <c r="T41">
        <v>5000</v>
      </c>
    </row>
    <row r="42" spans="1:22" x14ac:dyDescent="0.25">
      <c r="A42">
        <v>41</v>
      </c>
      <c r="B42" t="s">
        <v>171</v>
      </c>
      <c r="C42" t="s">
        <v>172</v>
      </c>
      <c r="D42" t="s">
        <v>173</v>
      </c>
      <c r="E42" s="2" t="s">
        <v>252</v>
      </c>
      <c r="F42" t="s">
        <v>31</v>
      </c>
      <c r="G42" t="s">
        <v>3</v>
      </c>
      <c r="H42" t="s">
        <v>0</v>
      </c>
      <c r="I42" t="s">
        <v>5</v>
      </c>
      <c r="J42">
        <v>0</v>
      </c>
      <c r="K42">
        <v>1</v>
      </c>
      <c r="R42" s="4">
        <v>55000</v>
      </c>
      <c r="T42">
        <v>2500</v>
      </c>
      <c r="V42">
        <v>30000</v>
      </c>
    </row>
    <row r="43" spans="1:22" x14ac:dyDescent="0.25">
      <c r="A43">
        <v>42</v>
      </c>
      <c r="B43" t="s">
        <v>174</v>
      </c>
      <c r="C43" t="s">
        <v>175</v>
      </c>
      <c r="D43" t="s">
        <v>176</v>
      </c>
      <c r="E43" s="2" t="s">
        <v>253</v>
      </c>
      <c r="F43" t="s">
        <v>177</v>
      </c>
      <c r="G43" t="s">
        <v>3</v>
      </c>
      <c r="H43" t="s">
        <v>1</v>
      </c>
      <c r="I43" t="s">
        <v>2</v>
      </c>
      <c r="J43">
        <v>2</v>
      </c>
      <c r="K43">
        <v>5</v>
      </c>
      <c r="R43" s="4"/>
      <c r="U43">
        <v>10000</v>
      </c>
    </row>
    <row r="44" spans="1:22" x14ac:dyDescent="0.25">
      <c r="A44">
        <v>43</v>
      </c>
      <c r="B44" t="s">
        <v>178</v>
      </c>
      <c r="C44" t="s">
        <v>179</v>
      </c>
      <c r="D44" t="s">
        <v>180</v>
      </c>
      <c r="E44" s="2" t="s">
        <v>254</v>
      </c>
      <c r="F44" t="s">
        <v>181</v>
      </c>
      <c r="G44" t="s">
        <v>3</v>
      </c>
      <c r="H44" t="s">
        <v>1</v>
      </c>
      <c r="I44" t="s">
        <v>2</v>
      </c>
      <c r="J44">
        <v>1</v>
      </c>
      <c r="K44">
        <v>1</v>
      </c>
      <c r="M44">
        <v>8</v>
      </c>
      <c r="N44">
        <v>5</v>
      </c>
      <c r="P44">
        <v>3</v>
      </c>
      <c r="R44" s="4"/>
      <c r="S44">
        <v>20000</v>
      </c>
    </row>
    <row r="45" spans="1:22" x14ac:dyDescent="0.25">
      <c r="A45">
        <v>44</v>
      </c>
      <c r="B45" t="s">
        <v>182</v>
      </c>
      <c r="C45" t="s">
        <v>183</v>
      </c>
      <c r="D45" t="s">
        <v>184</v>
      </c>
      <c r="E45" s="2">
        <v>27974</v>
      </c>
      <c r="F45" t="s">
        <v>145</v>
      </c>
      <c r="G45" t="s">
        <v>3</v>
      </c>
      <c r="H45" t="s">
        <v>6</v>
      </c>
      <c r="I45" t="s">
        <v>2</v>
      </c>
      <c r="J45">
        <v>1</v>
      </c>
      <c r="K45">
        <v>1</v>
      </c>
      <c r="M45">
        <v>8</v>
      </c>
      <c r="N45">
        <v>5</v>
      </c>
      <c r="P45">
        <v>3</v>
      </c>
      <c r="R45" s="4"/>
      <c r="S45">
        <v>20000</v>
      </c>
    </row>
    <row r="46" spans="1:22" x14ac:dyDescent="0.25">
      <c r="A46">
        <v>45</v>
      </c>
      <c r="B46" t="s">
        <v>185</v>
      </c>
      <c r="C46" t="s">
        <v>186</v>
      </c>
      <c r="D46" t="s">
        <v>187</v>
      </c>
      <c r="E46" s="2" t="s">
        <v>255</v>
      </c>
      <c r="F46" t="s">
        <v>188</v>
      </c>
      <c r="G46" t="s">
        <v>4</v>
      </c>
      <c r="H46" t="s">
        <v>6</v>
      </c>
      <c r="I46" t="s">
        <v>5</v>
      </c>
      <c r="J46">
        <v>1</v>
      </c>
      <c r="K46">
        <v>1</v>
      </c>
      <c r="P46">
        <v>2</v>
      </c>
      <c r="Q46">
        <v>8500</v>
      </c>
      <c r="R46" s="4"/>
      <c r="T46">
        <v>2500</v>
      </c>
    </row>
    <row r="47" spans="1:22" x14ac:dyDescent="0.25">
      <c r="A47">
        <v>46</v>
      </c>
      <c r="B47" t="s">
        <v>189</v>
      </c>
      <c r="C47" t="s">
        <v>190</v>
      </c>
      <c r="D47" t="s">
        <v>191</v>
      </c>
      <c r="E47" s="2" t="s">
        <v>256</v>
      </c>
      <c r="F47" t="s">
        <v>86</v>
      </c>
      <c r="G47" t="s">
        <v>3</v>
      </c>
      <c r="H47" t="s">
        <v>6</v>
      </c>
      <c r="I47" t="s">
        <v>2</v>
      </c>
      <c r="J47">
        <v>1</v>
      </c>
      <c r="K47">
        <v>1</v>
      </c>
      <c r="M47">
        <v>8</v>
      </c>
      <c r="N47">
        <v>5</v>
      </c>
      <c r="P47">
        <v>4</v>
      </c>
      <c r="R47" s="4"/>
      <c r="U47">
        <v>15000</v>
      </c>
    </row>
    <row r="48" spans="1:22" x14ac:dyDescent="0.25">
      <c r="A48">
        <v>47</v>
      </c>
      <c r="B48" t="s">
        <v>192</v>
      </c>
      <c r="C48" t="s">
        <v>257</v>
      </c>
      <c r="D48" t="s">
        <v>194</v>
      </c>
      <c r="E48" s="2" t="s">
        <v>258</v>
      </c>
      <c r="F48" t="s">
        <v>107</v>
      </c>
      <c r="G48" t="s">
        <v>3</v>
      </c>
      <c r="H48" t="s">
        <v>6</v>
      </c>
      <c r="I48" t="s">
        <v>2</v>
      </c>
      <c r="J48">
        <v>2</v>
      </c>
      <c r="K48">
        <v>5</v>
      </c>
      <c r="M48">
        <v>8</v>
      </c>
      <c r="O48">
        <v>3</v>
      </c>
      <c r="R48" s="4">
        <v>25000</v>
      </c>
    </row>
    <row r="49" spans="1:21" x14ac:dyDescent="0.25">
      <c r="A49">
        <v>48</v>
      </c>
      <c r="B49" t="s">
        <v>195</v>
      </c>
      <c r="C49" t="s">
        <v>196</v>
      </c>
      <c r="D49" t="s">
        <v>194</v>
      </c>
      <c r="E49" s="2" t="s">
        <v>259</v>
      </c>
      <c r="F49" t="s">
        <v>125</v>
      </c>
      <c r="G49" t="s">
        <v>4</v>
      </c>
      <c r="H49" t="s">
        <v>6</v>
      </c>
      <c r="I49" t="s">
        <v>2</v>
      </c>
      <c r="J49">
        <v>0</v>
      </c>
      <c r="K49">
        <v>2</v>
      </c>
      <c r="L49">
        <v>9500</v>
      </c>
      <c r="Q49">
        <v>5000</v>
      </c>
      <c r="R49" s="4"/>
      <c r="S49">
        <v>25000</v>
      </c>
      <c r="T49">
        <v>3000</v>
      </c>
      <c r="U49">
        <v>14500</v>
      </c>
    </row>
    <row r="50" spans="1:21" x14ac:dyDescent="0.25">
      <c r="A50">
        <v>49</v>
      </c>
      <c r="B50" t="s">
        <v>197</v>
      </c>
      <c r="C50" t="s">
        <v>198</v>
      </c>
      <c r="D50" t="s">
        <v>199</v>
      </c>
      <c r="E50" s="2" t="s">
        <v>260</v>
      </c>
      <c r="F50" t="s">
        <v>31</v>
      </c>
      <c r="G50" t="s">
        <v>3</v>
      </c>
      <c r="H50" t="s">
        <v>6</v>
      </c>
      <c r="I50" t="s">
        <v>2</v>
      </c>
      <c r="J50">
        <v>2</v>
      </c>
      <c r="K50">
        <v>5</v>
      </c>
      <c r="M50">
        <v>8</v>
      </c>
      <c r="R50" s="4"/>
    </row>
    <row r="51" spans="1:21" x14ac:dyDescent="0.25">
      <c r="A51">
        <v>50</v>
      </c>
      <c r="B51" t="s">
        <v>200</v>
      </c>
      <c r="C51" t="s">
        <v>201</v>
      </c>
      <c r="D51" t="s">
        <v>202</v>
      </c>
      <c r="E51" s="2" t="s">
        <v>261</v>
      </c>
      <c r="F51" t="s">
        <v>104</v>
      </c>
      <c r="G51" t="s">
        <v>3</v>
      </c>
      <c r="H51" t="s">
        <v>6</v>
      </c>
      <c r="I51" t="s">
        <v>5</v>
      </c>
      <c r="J51">
        <v>0</v>
      </c>
      <c r="K51">
        <v>0</v>
      </c>
      <c r="M51">
        <v>8</v>
      </c>
      <c r="N51">
        <v>2</v>
      </c>
      <c r="O51">
        <v>3</v>
      </c>
      <c r="Q51">
        <v>7000</v>
      </c>
      <c r="R51" s="4"/>
      <c r="T51">
        <v>3000</v>
      </c>
      <c r="U51">
        <v>13500</v>
      </c>
    </row>
    <row r="52" spans="1:21" x14ac:dyDescent="0.25">
      <c r="E52" s="1"/>
    </row>
    <row r="55" spans="1:21" x14ac:dyDescent="0.25">
      <c r="E5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U51"/>
  <sheetViews>
    <sheetView topLeftCell="G1" workbookViewId="0">
      <selection activeCell="L5" sqref="L5"/>
    </sheetView>
  </sheetViews>
  <sheetFormatPr baseColWidth="10" defaultRowHeight="15" x14ac:dyDescent="0.25"/>
  <cols>
    <col min="1" max="1" width="20.42578125" customWidth="1"/>
    <col min="8" max="8" width="15.7109375" customWidth="1"/>
    <col min="9" max="9" width="14.42578125" customWidth="1"/>
    <col min="17" max="17" width="15.85546875" customWidth="1"/>
  </cols>
  <sheetData>
    <row r="1" spans="1:21" x14ac:dyDescent="0.25">
      <c r="A1" t="s">
        <v>8</v>
      </c>
      <c r="B1" t="s">
        <v>9</v>
      </c>
      <c r="C1" t="s">
        <v>10</v>
      </c>
      <c r="D1" t="s">
        <v>203</v>
      </c>
      <c r="E1" t="s">
        <v>11</v>
      </c>
      <c r="F1" t="s">
        <v>204</v>
      </c>
      <c r="G1" t="s">
        <v>14</v>
      </c>
      <c r="H1" t="s">
        <v>20</v>
      </c>
      <c r="I1" t="s">
        <v>205</v>
      </c>
      <c r="J1" t="s">
        <v>206</v>
      </c>
      <c r="K1" t="s">
        <v>215</v>
      </c>
      <c r="L1" t="s">
        <v>207</v>
      </c>
      <c r="M1" t="s">
        <v>208</v>
      </c>
      <c r="N1" t="s">
        <v>17</v>
      </c>
      <c r="O1" t="s">
        <v>209</v>
      </c>
      <c r="P1" t="s">
        <v>210</v>
      </c>
      <c r="Q1" t="s">
        <v>211</v>
      </c>
      <c r="R1" t="s">
        <v>18</v>
      </c>
      <c r="S1" t="s">
        <v>212</v>
      </c>
      <c r="T1" t="s">
        <v>21</v>
      </c>
      <c r="U1" t="s">
        <v>213</v>
      </c>
    </row>
    <row r="2" spans="1:21" x14ac:dyDescent="0.25">
      <c r="A2" t="s">
        <v>28</v>
      </c>
      <c r="B2" t="s">
        <v>29</v>
      </c>
      <c r="C2" t="s">
        <v>30</v>
      </c>
      <c r="D2">
        <v>30568</v>
      </c>
      <c r="E2" t="s">
        <v>31</v>
      </c>
      <c r="F2">
        <v>37</v>
      </c>
      <c r="G2" t="s">
        <v>2</v>
      </c>
      <c r="H2">
        <v>3</v>
      </c>
      <c r="I2" t="str">
        <f>IF(J2&lt;=360000,"General","Cadre")</f>
        <v>General</v>
      </c>
      <c r="J2">
        <f>SBS(Donnees!H2,Donnees!L2,Donnees!M2,Donnees!N2,Donnees!O2,Donnees!P2,Donnees!Q2)</f>
        <v>358206.60000000003</v>
      </c>
      <c r="K2">
        <f>sal_brut_fiscal(Donnees!S2,livre_paie!J2)</f>
        <v>375706.60000000003</v>
      </c>
      <c r="L2">
        <f>Reg_gener(J2)</f>
        <v>20059.569600000003</v>
      </c>
      <c r="M2">
        <f>Reg_cadre(J2)</f>
        <v>0</v>
      </c>
      <c r="N2">
        <v>4500</v>
      </c>
      <c r="O2">
        <f>Taxe_RIM(Donnees!K2,livre_paie!K2)</f>
        <v>3600</v>
      </c>
      <c r="P2">
        <f>IR_Mensuel(K2,Donnees!J2,Donnees!L2)</f>
        <v>44307.853999999999</v>
      </c>
      <c r="Q2">
        <v>25000</v>
      </c>
      <c r="S2">
        <f>L2+M2+N2+O2+P2+Q2+R2</f>
        <v>97467.423600000009</v>
      </c>
      <c r="T2">
        <v>17500</v>
      </c>
      <c r="U2">
        <f>J2-S2+T2</f>
        <v>278239.1764</v>
      </c>
    </row>
    <row r="3" spans="1:21" x14ac:dyDescent="0.25">
      <c r="A3" t="s">
        <v>32</v>
      </c>
      <c r="B3" t="s">
        <v>33</v>
      </c>
      <c r="C3" t="s">
        <v>34</v>
      </c>
      <c r="D3">
        <v>27693</v>
      </c>
      <c r="E3" t="s">
        <v>35</v>
      </c>
      <c r="F3">
        <v>45</v>
      </c>
      <c r="G3" t="s">
        <v>5</v>
      </c>
      <c r="H3">
        <v>0</v>
      </c>
      <c r="I3" t="str">
        <f t="shared" ref="I3:I51" si="0">IF(J3&lt;=360000,"General","Cadre")</f>
        <v>Cadre</v>
      </c>
      <c r="J3">
        <f>SBS(Donnees!H3,Donnees!L3,Donnees!M3,Donnees!N3,Donnees!O3,Donnees!P3,Donnees!Q3)</f>
        <v>376842.60000000003</v>
      </c>
      <c r="K3">
        <f>sal_brut_fiscal(Donnees!S3,livre_paie!J3)</f>
        <v>389342.60000000003</v>
      </c>
      <c r="L3">
        <f t="shared" ref="L3:L51" si="1">Reg_gener(J3)</f>
        <v>20160</v>
      </c>
      <c r="M3">
        <f t="shared" ref="M3:M51" si="2">Reg_cadre(J3)</f>
        <v>9044.2224000000006</v>
      </c>
      <c r="O3">
        <f>Taxe_RIM(Donnees!K3,livre_paie!K3)</f>
        <v>900</v>
      </c>
      <c r="P3">
        <f>IR_Mensuel(K3,Donnees!J3,Donnees!L3)</f>
        <v>47839.577999999987</v>
      </c>
      <c r="S3">
        <f t="shared" ref="S3:S51" si="3">L3+M3+N3+O3+P3+Q3+R3</f>
        <v>77943.800399999978</v>
      </c>
      <c r="T3">
        <v>12500</v>
      </c>
      <c r="U3">
        <f t="shared" ref="U3:U51" si="4">J3-S3+T3</f>
        <v>311398.79960000003</v>
      </c>
    </row>
    <row r="4" spans="1:21" x14ac:dyDescent="0.25">
      <c r="A4" t="s">
        <v>36</v>
      </c>
      <c r="B4" t="s">
        <v>37</v>
      </c>
      <c r="C4" t="s">
        <v>38</v>
      </c>
      <c r="D4">
        <v>30241</v>
      </c>
      <c r="E4" t="s">
        <v>39</v>
      </c>
      <c r="F4">
        <v>38</v>
      </c>
      <c r="G4" t="s">
        <v>2</v>
      </c>
      <c r="H4">
        <v>6</v>
      </c>
      <c r="I4" t="str">
        <f t="shared" si="0"/>
        <v>Cadre</v>
      </c>
      <c r="J4">
        <f>SBS(Donnees!H4,Donnees!L4,Donnees!M4,Donnees!N4,Donnees!O4,Donnees!P4,Donnees!Q4)</f>
        <v>361438.60000000003</v>
      </c>
      <c r="K4">
        <f>sal_brut_fiscal(Donnees!S4,livre_paie!J4)</f>
        <v>381438.60000000003</v>
      </c>
      <c r="L4">
        <f t="shared" si="1"/>
        <v>20160</v>
      </c>
      <c r="M4">
        <f t="shared" si="2"/>
        <v>8674.5264000000006</v>
      </c>
      <c r="N4">
        <v>5000</v>
      </c>
      <c r="O4">
        <f>Taxe_RIM(Donnees!K4,livre_paie!K4)</f>
        <v>6300</v>
      </c>
      <c r="P4">
        <f>IR_Mensuel(K4,Donnees!J4,Donnees!L4)</f>
        <v>45792.442000000003</v>
      </c>
      <c r="S4">
        <f t="shared" si="3"/>
        <v>85926.968400000012</v>
      </c>
      <c r="T4">
        <v>20000</v>
      </c>
      <c r="U4">
        <f t="shared" si="4"/>
        <v>295511.63160000002</v>
      </c>
    </row>
    <row r="5" spans="1:21" x14ac:dyDescent="0.25">
      <c r="A5" t="s">
        <v>40</v>
      </c>
      <c r="B5" t="s">
        <v>41</v>
      </c>
      <c r="C5" t="s">
        <v>42</v>
      </c>
      <c r="D5">
        <v>29273</v>
      </c>
      <c r="E5" t="s">
        <v>43</v>
      </c>
      <c r="F5">
        <v>40</v>
      </c>
      <c r="G5" t="s">
        <v>2</v>
      </c>
      <c r="H5">
        <v>1</v>
      </c>
      <c r="I5" t="str">
        <f t="shared" si="0"/>
        <v>General</v>
      </c>
      <c r="J5">
        <f>SBS(Donnees!H5,Donnees!L5,Donnees!M5,Donnees!N5,Donnees!O5,Donnees!P5,Donnees!Q5)</f>
        <v>243940.05000000002</v>
      </c>
      <c r="K5">
        <f>sal_brut_fiscal(Donnees!S5,livre_paie!J5)</f>
        <v>263940.05000000005</v>
      </c>
      <c r="L5">
        <f t="shared" si="1"/>
        <v>13660.642800000001</v>
      </c>
      <c r="M5">
        <f t="shared" si="2"/>
        <v>0</v>
      </c>
      <c r="O5">
        <f>Taxe_RIM(Donnees!K5,livre_paie!K5)</f>
        <v>1800</v>
      </c>
      <c r="P5">
        <f>IR_Mensuel(K5,Donnees!J5,Donnees!L5)</f>
        <v>15360.459999999994</v>
      </c>
      <c r="S5">
        <f t="shared" si="3"/>
        <v>30821.102799999993</v>
      </c>
      <c r="U5">
        <f t="shared" si="4"/>
        <v>213118.94720000002</v>
      </c>
    </row>
    <row r="6" spans="1:21" x14ac:dyDescent="0.25">
      <c r="A6" t="s">
        <v>44</v>
      </c>
      <c r="B6" t="s">
        <v>45</v>
      </c>
      <c r="C6" t="s">
        <v>46</v>
      </c>
      <c r="D6">
        <v>30423</v>
      </c>
      <c r="E6" t="s">
        <v>47</v>
      </c>
      <c r="F6">
        <v>37</v>
      </c>
      <c r="G6" t="s">
        <v>5</v>
      </c>
      <c r="H6">
        <v>1</v>
      </c>
      <c r="I6" t="str">
        <f t="shared" si="0"/>
        <v>General</v>
      </c>
      <c r="J6">
        <f>SBS(Donnees!H6,Donnees!L6,Donnees!M6,Donnees!N6,Donnees!O6,Donnees!P6,Donnees!Q6)</f>
        <v>265034.05</v>
      </c>
      <c r="K6">
        <f>sal_brut_fiscal(Donnees!S6,livre_paie!J6)</f>
        <v>265034.05</v>
      </c>
      <c r="L6">
        <f t="shared" si="1"/>
        <v>14841.906799999999</v>
      </c>
      <c r="M6">
        <f t="shared" si="2"/>
        <v>0</v>
      </c>
      <c r="N6">
        <v>3500</v>
      </c>
      <c r="O6">
        <f>Taxe_RIM(Donnees!K6,livre_paie!K6)</f>
        <v>1800</v>
      </c>
      <c r="P6">
        <f>IR_Mensuel(K6,Donnees!J6,Donnees!L6)</f>
        <v>15643.805999999997</v>
      </c>
      <c r="Q6">
        <v>30000</v>
      </c>
      <c r="R6">
        <v>20000</v>
      </c>
      <c r="S6">
        <f t="shared" si="3"/>
        <v>85785.712799999994</v>
      </c>
      <c r="U6">
        <f t="shared" si="4"/>
        <v>179248.33720000001</v>
      </c>
    </row>
    <row r="7" spans="1:21" x14ac:dyDescent="0.25">
      <c r="A7" t="s">
        <v>48</v>
      </c>
      <c r="B7" t="s">
        <v>49</v>
      </c>
      <c r="C7" t="s">
        <v>50</v>
      </c>
      <c r="D7">
        <v>29138</v>
      </c>
      <c r="E7" t="s">
        <v>51</v>
      </c>
      <c r="F7">
        <v>41</v>
      </c>
      <c r="G7" t="s">
        <v>5</v>
      </c>
      <c r="H7">
        <v>0</v>
      </c>
      <c r="I7" t="str">
        <f t="shared" si="0"/>
        <v>General</v>
      </c>
      <c r="J7">
        <f>SBS(Donnees!H7,Donnees!L7,Donnees!M7,Donnees!N7,Donnees!O7,Donnees!P7,Donnees!Q7)</f>
        <v>240062.05000000002</v>
      </c>
      <c r="K7">
        <f>sal_brut_fiscal(Donnees!S7,livre_paie!J7)</f>
        <v>240062.05000000002</v>
      </c>
      <c r="L7">
        <f t="shared" si="1"/>
        <v>13443.474800000002</v>
      </c>
      <c r="M7">
        <f t="shared" si="2"/>
        <v>0</v>
      </c>
      <c r="N7">
        <v>2500</v>
      </c>
      <c r="O7">
        <f>Taxe_RIM(Donnees!K7,livre_paie!K7)</f>
        <v>900</v>
      </c>
      <c r="P7">
        <f>IR_Mensuel(K7,Donnees!J7,Donnees!L7)</f>
        <v>9176.0579999999954</v>
      </c>
      <c r="S7">
        <f t="shared" si="3"/>
        <v>26019.532800000001</v>
      </c>
      <c r="U7">
        <f t="shared" si="4"/>
        <v>214042.5172</v>
      </c>
    </row>
    <row r="8" spans="1:21" x14ac:dyDescent="0.25">
      <c r="A8" t="s">
        <v>52</v>
      </c>
      <c r="B8" t="s">
        <v>53</v>
      </c>
      <c r="C8" t="s">
        <v>54</v>
      </c>
      <c r="D8">
        <v>29982</v>
      </c>
      <c r="E8" t="s">
        <v>55</v>
      </c>
      <c r="F8">
        <v>38</v>
      </c>
      <c r="G8" t="s">
        <v>2</v>
      </c>
      <c r="H8">
        <v>4</v>
      </c>
      <c r="I8" t="str">
        <f t="shared" si="0"/>
        <v>Cadre</v>
      </c>
      <c r="J8">
        <f>SBS(Donnees!H8,Donnees!L8,Donnees!M8,Donnees!N8,Donnees!O8,Donnees!P8,Donnees!Q8)</f>
        <v>479897.63000000006</v>
      </c>
      <c r="K8">
        <f>sal_brut_fiscal(Donnees!S8,livre_paie!J8)</f>
        <v>479897.63000000006</v>
      </c>
      <c r="L8">
        <f t="shared" si="1"/>
        <v>20160</v>
      </c>
      <c r="M8">
        <f t="shared" si="2"/>
        <v>11517.543120000002</v>
      </c>
      <c r="O8">
        <f>Taxe_RIM(Donnees!K8,livre_paie!K8)</f>
        <v>4500</v>
      </c>
      <c r="P8">
        <f>IR_Mensuel(K8,Donnees!J8,Donnees!L8)</f>
        <v>71293.322999999989</v>
      </c>
      <c r="S8">
        <f t="shared" si="3"/>
        <v>107470.86611999999</v>
      </c>
      <c r="U8">
        <f t="shared" si="4"/>
        <v>372426.7638800001</v>
      </c>
    </row>
    <row r="9" spans="1:21" x14ac:dyDescent="0.25">
      <c r="A9" t="s">
        <v>56</v>
      </c>
      <c r="B9" t="s">
        <v>57</v>
      </c>
      <c r="C9" t="s">
        <v>58</v>
      </c>
      <c r="D9">
        <v>27684</v>
      </c>
      <c r="E9" t="s">
        <v>31</v>
      </c>
      <c r="F9">
        <v>45</v>
      </c>
      <c r="G9" t="s">
        <v>5</v>
      </c>
      <c r="H9">
        <v>0</v>
      </c>
      <c r="I9" t="str">
        <f t="shared" si="0"/>
        <v>Cadre</v>
      </c>
      <c r="J9">
        <f>SBS(Donnees!H9,Donnees!L9,Donnees!M9,Donnees!N9,Donnees!O9,Donnees!P9,Donnees!Q9)</f>
        <v>469897.63000000006</v>
      </c>
      <c r="K9">
        <f>sal_brut_fiscal(Donnees!S9,livre_paie!J9)</f>
        <v>469897.63000000006</v>
      </c>
      <c r="L9">
        <f t="shared" si="1"/>
        <v>20160</v>
      </c>
      <c r="M9">
        <f t="shared" si="2"/>
        <v>11277.543120000002</v>
      </c>
      <c r="N9">
        <v>3000</v>
      </c>
      <c r="O9">
        <f>Taxe_RIM(Donnees!K9,livre_paie!K9)</f>
        <v>900</v>
      </c>
      <c r="P9">
        <f>IR_Mensuel(K9,Donnees!J9,Donnees!L9)</f>
        <v>68703.322999999989</v>
      </c>
      <c r="S9">
        <f t="shared" si="3"/>
        <v>104040.86611999999</v>
      </c>
      <c r="U9">
        <f t="shared" si="4"/>
        <v>365856.7638800001</v>
      </c>
    </row>
    <row r="10" spans="1:21" x14ac:dyDescent="0.25">
      <c r="A10" t="s">
        <v>59</v>
      </c>
      <c r="B10" t="s">
        <v>60</v>
      </c>
      <c r="C10" t="s">
        <v>58</v>
      </c>
      <c r="D10">
        <v>29466</v>
      </c>
      <c r="E10" t="s">
        <v>55</v>
      </c>
      <c r="F10">
        <v>40</v>
      </c>
      <c r="G10" t="s">
        <v>2</v>
      </c>
      <c r="H10">
        <v>8</v>
      </c>
      <c r="I10" t="str">
        <f t="shared" si="0"/>
        <v>Cadre</v>
      </c>
      <c r="J10">
        <f>SBS(Donnees!H10,Donnees!L10,Donnees!M10,Donnees!N10,Donnees!O10,Donnees!P10,Donnees!Q10)</f>
        <v>469897.63000000006</v>
      </c>
      <c r="K10">
        <f>sal_brut_fiscal(Donnees!S10,livre_paie!J10)</f>
        <v>469897.63000000006</v>
      </c>
      <c r="L10">
        <f t="shared" si="1"/>
        <v>20160</v>
      </c>
      <c r="M10">
        <f t="shared" si="2"/>
        <v>11277.543120000002</v>
      </c>
      <c r="N10">
        <v>3000</v>
      </c>
      <c r="O10">
        <f>Taxe_RIM(Donnees!K10,livre_paie!K10)</f>
        <v>8100</v>
      </c>
      <c r="P10">
        <f>IR_Mensuel(K10,Donnees!J10,Donnees!L10)</f>
        <v>68703.322999999989</v>
      </c>
      <c r="Q10">
        <v>55000</v>
      </c>
      <c r="S10">
        <f t="shared" si="3"/>
        <v>166240.86611999999</v>
      </c>
      <c r="U10">
        <f t="shared" si="4"/>
        <v>303656.7638800001</v>
      </c>
    </row>
    <row r="11" spans="1:21" x14ac:dyDescent="0.25">
      <c r="A11" t="s">
        <v>61</v>
      </c>
      <c r="B11" t="s">
        <v>62</v>
      </c>
      <c r="C11" t="s">
        <v>63</v>
      </c>
      <c r="D11">
        <v>27888</v>
      </c>
      <c r="E11" t="s">
        <v>64</v>
      </c>
      <c r="F11">
        <v>44</v>
      </c>
      <c r="G11" t="s">
        <v>5</v>
      </c>
      <c r="H11">
        <v>0</v>
      </c>
      <c r="I11" t="str">
        <f t="shared" si="0"/>
        <v>Cadre</v>
      </c>
      <c r="J11">
        <f>SBS(Donnees!H11,Donnees!L11,Donnees!M11,Donnees!N11,Donnees!O11,Donnees!P11,Donnees!Q11)</f>
        <v>519897.63000000006</v>
      </c>
      <c r="K11">
        <f>sal_brut_fiscal(Donnees!S11,livre_paie!J11)</f>
        <v>519897.63000000006</v>
      </c>
      <c r="L11">
        <f t="shared" si="1"/>
        <v>20160</v>
      </c>
      <c r="M11">
        <f t="shared" si="2"/>
        <v>12477.543120000002</v>
      </c>
      <c r="O11">
        <f>Taxe_RIM(Donnees!K11,livre_paie!K11)</f>
        <v>900</v>
      </c>
      <c r="P11">
        <f>IR_Mensuel(K11,Donnees!J11,Donnees!L11)</f>
        <v>81653.322999999989</v>
      </c>
      <c r="S11">
        <f t="shared" si="3"/>
        <v>115190.86611999999</v>
      </c>
      <c r="U11">
        <f t="shared" si="4"/>
        <v>404706.7638800001</v>
      </c>
    </row>
    <row r="12" spans="1:21" x14ac:dyDescent="0.25">
      <c r="A12" t="s">
        <v>65</v>
      </c>
      <c r="B12" t="s">
        <v>66</v>
      </c>
      <c r="C12" t="s">
        <v>67</v>
      </c>
      <c r="D12">
        <v>28363</v>
      </c>
      <c r="E12" t="s">
        <v>68</v>
      </c>
      <c r="F12">
        <v>43</v>
      </c>
      <c r="G12" t="s">
        <v>5</v>
      </c>
      <c r="H12">
        <v>0</v>
      </c>
      <c r="I12" t="str">
        <f t="shared" si="0"/>
        <v>Cadre</v>
      </c>
      <c r="J12">
        <f>SBS(Donnees!H12,Donnees!L12,Donnees!M12,Donnees!N12,Donnees!O12,Donnees!P12,Donnees!Q12)</f>
        <v>360226.60000000003</v>
      </c>
      <c r="K12">
        <f>sal_brut_fiscal(Donnees!S12,livre_paie!J12)</f>
        <v>385226.60000000003</v>
      </c>
      <c r="L12">
        <f t="shared" si="1"/>
        <v>20160</v>
      </c>
      <c r="M12">
        <f t="shared" si="2"/>
        <v>8645.4384000000009</v>
      </c>
      <c r="N12">
        <v>3000</v>
      </c>
      <c r="O12">
        <f>Taxe_RIM(Donnees!K12,livre_paie!K12)</f>
        <v>900</v>
      </c>
      <c r="P12">
        <f>IR_Mensuel(K12,Donnees!J12,Donnees!L12)</f>
        <v>46773.534000000007</v>
      </c>
      <c r="S12">
        <f t="shared" si="3"/>
        <v>79478.972399999999</v>
      </c>
      <c r="T12">
        <v>25000</v>
      </c>
      <c r="U12">
        <f t="shared" si="4"/>
        <v>305747.62760000001</v>
      </c>
    </row>
    <row r="13" spans="1:21" x14ac:dyDescent="0.25">
      <c r="A13" t="s">
        <v>69</v>
      </c>
      <c r="B13" t="s">
        <v>70</v>
      </c>
      <c r="C13" t="s">
        <v>71</v>
      </c>
      <c r="D13">
        <v>29055</v>
      </c>
      <c r="E13" t="s">
        <v>72</v>
      </c>
      <c r="F13">
        <v>41</v>
      </c>
      <c r="G13" t="s">
        <v>5</v>
      </c>
      <c r="H13">
        <v>0</v>
      </c>
      <c r="I13" t="str">
        <f t="shared" si="0"/>
        <v>General</v>
      </c>
      <c r="J13">
        <f>SBS(Donnees!H13,Donnees!L13,Donnees!M13,Donnees!N13,Donnees!O13,Donnees!P13,Donnees!Q13)</f>
        <v>352550.60000000003</v>
      </c>
      <c r="K13">
        <f>sal_brut_fiscal(Donnees!S13,livre_paie!J13)</f>
        <v>352550.60000000003</v>
      </c>
      <c r="L13">
        <f t="shared" si="1"/>
        <v>19742.833600000002</v>
      </c>
      <c r="M13">
        <f t="shared" si="2"/>
        <v>0</v>
      </c>
      <c r="O13">
        <f>Taxe_RIM(Donnees!K13,livre_paie!K13)</f>
        <v>900</v>
      </c>
      <c r="P13">
        <f>IR_Mensuel(K13,Donnees!J13,Donnees!L13)</f>
        <v>38310.44999999999</v>
      </c>
      <c r="Q13">
        <v>17500</v>
      </c>
      <c r="S13">
        <f t="shared" si="3"/>
        <v>76453.283599999995</v>
      </c>
      <c r="U13">
        <f t="shared" si="4"/>
        <v>276097.31640000001</v>
      </c>
    </row>
    <row r="14" spans="1:21" x14ac:dyDescent="0.25">
      <c r="A14" t="s">
        <v>73</v>
      </c>
      <c r="B14" t="s">
        <v>74</v>
      </c>
      <c r="C14" t="s">
        <v>75</v>
      </c>
      <c r="D14">
        <v>30224</v>
      </c>
      <c r="E14" t="s">
        <v>76</v>
      </c>
      <c r="F14">
        <v>38</v>
      </c>
      <c r="G14" t="s">
        <v>5</v>
      </c>
      <c r="H14">
        <v>1</v>
      </c>
      <c r="I14" t="str">
        <f t="shared" si="0"/>
        <v>Cadre</v>
      </c>
      <c r="J14">
        <f>SBS(Donnees!H14,Donnees!L14,Donnees!M14,Donnees!N14,Donnees!O14,Donnees!P14,Donnees!Q14)</f>
        <v>366286.60000000003</v>
      </c>
      <c r="K14">
        <f>sal_brut_fiscal(Donnees!S14,livre_paie!J14)</f>
        <v>383286.60000000003</v>
      </c>
      <c r="L14">
        <f t="shared" si="1"/>
        <v>20160</v>
      </c>
      <c r="M14">
        <f t="shared" si="2"/>
        <v>8790.8784000000014</v>
      </c>
      <c r="N14">
        <v>3000</v>
      </c>
      <c r="O14">
        <f>Taxe_RIM(Donnees!K14,livre_paie!K14)</f>
        <v>1800</v>
      </c>
      <c r="P14">
        <f>IR_Mensuel(K14,Donnees!J14,Donnees!L14)</f>
        <v>46271.074000000001</v>
      </c>
      <c r="R14">
        <v>15000</v>
      </c>
      <c r="S14">
        <f t="shared" si="3"/>
        <v>95021.952400000009</v>
      </c>
      <c r="T14">
        <v>17000</v>
      </c>
      <c r="U14">
        <f t="shared" si="4"/>
        <v>288264.64760000003</v>
      </c>
    </row>
    <row r="15" spans="1:21" x14ac:dyDescent="0.25">
      <c r="A15" t="s">
        <v>77</v>
      </c>
      <c r="B15" t="s">
        <v>78</v>
      </c>
      <c r="C15" t="s">
        <v>79</v>
      </c>
      <c r="D15">
        <v>31307</v>
      </c>
      <c r="E15" t="s">
        <v>80</v>
      </c>
      <c r="F15">
        <v>35</v>
      </c>
      <c r="G15" t="s">
        <v>5</v>
      </c>
      <c r="H15">
        <v>0</v>
      </c>
      <c r="I15" t="str">
        <f t="shared" si="0"/>
        <v>General</v>
      </c>
      <c r="J15">
        <f>SBS(Donnees!H15,Donnees!L15,Donnees!M15,Donnees!N15,Donnees!O15,Donnees!P15,Donnees!Q15)</f>
        <v>350126.60000000003</v>
      </c>
      <c r="K15">
        <f>sal_brut_fiscal(Donnees!S15,livre_paie!J15)</f>
        <v>350126.60000000003</v>
      </c>
      <c r="L15">
        <f t="shared" si="1"/>
        <v>19607.089600000003</v>
      </c>
      <c r="M15">
        <f t="shared" si="2"/>
        <v>0</v>
      </c>
      <c r="N15">
        <v>2500</v>
      </c>
      <c r="O15">
        <f>Taxe_RIM(Donnees!K15,livre_paie!K15)</f>
        <v>900</v>
      </c>
      <c r="P15">
        <f>IR_Mensuel(K15,Donnees!J15,Donnees!L15)</f>
        <v>37682.634000000005</v>
      </c>
      <c r="S15">
        <f t="shared" si="3"/>
        <v>60689.723600000012</v>
      </c>
      <c r="U15">
        <f t="shared" si="4"/>
        <v>289436.87640000001</v>
      </c>
    </row>
    <row r="16" spans="1:21" x14ac:dyDescent="0.25">
      <c r="A16" t="s">
        <v>81</v>
      </c>
      <c r="B16" t="s">
        <v>82</v>
      </c>
      <c r="C16" t="s">
        <v>79</v>
      </c>
      <c r="D16">
        <v>30760</v>
      </c>
      <c r="E16" t="s">
        <v>80</v>
      </c>
      <c r="F16">
        <v>36</v>
      </c>
      <c r="G16" t="s">
        <v>5</v>
      </c>
      <c r="H16">
        <v>0</v>
      </c>
      <c r="I16" t="str">
        <f t="shared" si="0"/>
        <v>General</v>
      </c>
      <c r="J16">
        <f>SBS(Donnees!H16,Donnees!L16,Donnees!M16,Donnees!N16,Donnees!O16,Donnees!P16,Donnees!Q16)</f>
        <v>246987.05000000002</v>
      </c>
      <c r="K16">
        <f>sal_brut_fiscal(Donnees!S16,livre_paie!J16)</f>
        <v>246987.05000000002</v>
      </c>
      <c r="L16">
        <f t="shared" si="1"/>
        <v>13831.274800000001</v>
      </c>
      <c r="M16">
        <f t="shared" si="2"/>
        <v>0</v>
      </c>
      <c r="O16">
        <f>Taxe_RIM(Donnees!K16,livre_paie!K16)</f>
        <v>900</v>
      </c>
      <c r="P16">
        <f>IR_Mensuel(K16,Donnees!J16,Donnees!L16)</f>
        <v>10969.632999999994</v>
      </c>
      <c r="S16">
        <f t="shared" si="3"/>
        <v>25700.907799999994</v>
      </c>
      <c r="U16">
        <f t="shared" si="4"/>
        <v>221286.14220000003</v>
      </c>
    </row>
    <row r="17" spans="1:21" x14ac:dyDescent="0.25">
      <c r="A17" t="s">
        <v>83</v>
      </c>
      <c r="B17" t="s">
        <v>84</v>
      </c>
      <c r="C17" t="s">
        <v>85</v>
      </c>
      <c r="D17">
        <v>28594</v>
      </c>
      <c r="E17" t="s">
        <v>86</v>
      </c>
      <c r="F17">
        <v>42</v>
      </c>
      <c r="G17" t="s">
        <v>2</v>
      </c>
      <c r="H17">
        <v>4</v>
      </c>
      <c r="I17" t="str">
        <f t="shared" si="0"/>
        <v>General</v>
      </c>
      <c r="J17">
        <f>SBS(Donnees!H17,Donnees!L17,Donnees!M17,Donnees!N17,Donnees!O17,Donnees!P17,Donnees!Q17)</f>
        <v>260034.05000000002</v>
      </c>
      <c r="K17">
        <f>sal_brut_fiscal(Donnees!S17,livre_paie!J17)</f>
        <v>260034.05000000002</v>
      </c>
      <c r="L17">
        <f t="shared" si="1"/>
        <v>14561.906800000001</v>
      </c>
      <c r="M17">
        <f t="shared" si="2"/>
        <v>0</v>
      </c>
      <c r="O17">
        <f>Taxe_RIM(Donnees!K17,livre_paie!K17)</f>
        <v>4500</v>
      </c>
      <c r="P17">
        <f>IR_Mensuel(K17,Donnees!J17,Donnees!L17)</f>
        <v>14348.805999999997</v>
      </c>
      <c r="S17">
        <f t="shared" si="3"/>
        <v>33410.712799999994</v>
      </c>
      <c r="U17">
        <f t="shared" si="4"/>
        <v>226623.33720000001</v>
      </c>
    </row>
    <row r="18" spans="1:21" x14ac:dyDescent="0.25">
      <c r="A18" t="s">
        <v>87</v>
      </c>
      <c r="B18" t="s">
        <v>88</v>
      </c>
      <c r="C18" t="s">
        <v>85</v>
      </c>
      <c r="D18">
        <v>28152</v>
      </c>
      <c r="E18" t="s">
        <v>89</v>
      </c>
      <c r="F18">
        <v>43</v>
      </c>
      <c r="G18" t="s">
        <v>2</v>
      </c>
      <c r="H18">
        <v>3</v>
      </c>
      <c r="I18" t="str">
        <f t="shared" si="0"/>
        <v>General</v>
      </c>
      <c r="J18">
        <f>SBS(Donnees!H18,Donnees!L18,Donnees!M18,Donnees!N18,Donnees!O18,Donnees!P18,Donnees!Q18)</f>
        <v>245325.05000000002</v>
      </c>
      <c r="K18">
        <f>sal_brut_fiscal(Donnees!S18,livre_paie!J18)</f>
        <v>245325.05000000002</v>
      </c>
      <c r="L18">
        <f t="shared" si="1"/>
        <v>13738.202800000001</v>
      </c>
      <c r="M18">
        <f t="shared" si="2"/>
        <v>0</v>
      </c>
      <c r="O18">
        <f>Taxe_RIM(Donnees!K18,livre_paie!K18)</f>
        <v>3600</v>
      </c>
      <c r="P18">
        <f>IR_Mensuel(K18,Donnees!J18,Donnees!L18)</f>
        <v>10539.174999999994</v>
      </c>
      <c r="Q18">
        <v>20000</v>
      </c>
      <c r="S18">
        <f t="shared" si="3"/>
        <v>47877.377799999995</v>
      </c>
      <c r="U18">
        <f t="shared" si="4"/>
        <v>197447.67220000003</v>
      </c>
    </row>
    <row r="19" spans="1:21" x14ac:dyDescent="0.25">
      <c r="A19" t="s">
        <v>90</v>
      </c>
      <c r="B19" t="s">
        <v>91</v>
      </c>
      <c r="C19" t="s">
        <v>92</v>
      </c>
      <c r="D19">
        <v>30087</v>
      </c>
      <c r="E19" t="s">
        <v>93</v>
      </c>
      <c r="F19">
        <v>38</v>
      </c>
      <c r="G19" t="s">
        <v>2</v>
      </c>
      <c r="H19">
        <v>7</v>
      </c>
      <c r="I19" t="str">
        <f t="shared" si="0"/>
        <v>Cadre</v>
      </c>
      <c r="J19">
        <f>SBS(Donnees!H19,Donnees!L19,Donnees!M19,Donnees!N19,Donnees!O19,Donnees!P19,Donnees!Q19)</f>
        <v>479897.63000000006</v>
      </c>
      <c r="K19">
        <f>sal_brut_fiscal(Donnees!S19,livre_paie!J19)</f>
        <v>479897.63000000006</v>
      </c>
      <c r="L19">
        <f t="shared" si="1"/>
        <v>20160</v>
      </c>
      <c r="M19">
        <f t="shared" si="2"/>
        <v>11517.543120000002</v>
      </c>
      <c r="O19">
        <f>Taxe_RIM(Donnees!K19,livre_paie!K19)</f>
        <v>7200</v>
      </c>
      <c r="P19">
        <f>IR_Mensuel(K19,Donnees!J19,Donnees!L19)</f>
        <v>71293.322999999989</v>
      </c>
      <c r="Q19">
        <v>15000</v>
      </c>
      <c r="S19">
        <f t="shared" si="3"/>
        <v>125170.86611999999</v>
      </c>
      <c r="U19">
        <f t="shared" si="4"/>
        <v>354726.7638800001</v>
      </c>
    </row>
    <row r="20" spans="1:21" x14ac:dyDescent="0.25">
      <c r="A20" t="s">
        <v>94</v>
      </c>
      <c r="B20" t="s">
        <v>95</v>
      </c>
      <c r="C20" t="s">
        <v>96</v>
      </c>
      <c r="D20">
        <v>30986</v>
      </c>
      <c r="E20" t="s">
        <v>97</v>
      </c>
      <c r="F20">
        <v>36</v>
      </c>
      <c r="G20" t="s">
        <v>2</v>
      </c>
      <c r="H20">
        <v>1</v>
      </c>
      <c r="I20" t="str">
        <f t="shared" si="0"/>
        <v>General</v>
      </c>
      <c r="J20">
        <f>SBS(Donnees!H20,Donnees!L20,Donnees!M20,Donnees!N20,Donnees!O20,Donnees!P20,Donnees!Q20)</f>
        <v>251142.05000000002</v>
      </c>
      <c r="K20">
        <f>sal_brut_fiscal(Donnees!S20,livre_paie!J20)</f>
        <v>251142.05000000002</v>
      </c>
      <c r="L20">
        <f t="shared" si="1"/>
        <v>14063.954800000001</v>
      </c>
      <c r="M20">
        <f t="shared" si="2"/>
        <v>0</v>
      </c>
      <c r="N20">
        <v>3000</v>
      </c>
      <c r="O20">
        <f>Taxe_RIM(Donnees!K20,livre_paie!K20)</f>
        <v>1800</v>
      </c>
      <c r="P20">
        <f>IR_Mensuel(K20,Donnees!J20,Donnees!L20)</f>
        <v>12045.777999999989</v>
      </c>
      <c r="S20">
        <f t="shared" si="3"/>
        <v>30909.732799999991</v>
      </c>
      <c r="U20">
        <f t="shared" si="4"/>
        <v>220232.31720000002</v>
      </c>
    </row>
    <row r="21" spans="1:21" x14ac:dyDescent="0.25">
      <c r="A21" t="s">
        <v>98</v>
      </c>
      <c r="B21" t="s">
        <v>99</v>
      </c>
      <c r="C21" t="s">
        <v>96</v>
      </c>
      <c r="D21">
        <v>28457</v>
      </c>
      <c r="E21" t="s">
        <v>100</v>
      </c>
      <c r="F21">
        <v>43</v>
      </c>
      <c r="G21" t="s">
        <v>2</v>
      </c>
      <c r="H21">
        <v>3</v>
      </c>
      <c r="I21" t="str">
        <f t="shared" si="0"/>
        <v>Cadre</v>
      </c>
      <c r="J21">
        <f>SBS(Donnees!H21,Donnees!L21,Donnees!M21,Donnees!N21,Donnees!O21,Donnees!P21,Donnees!Q21)</f>
        <v>368474.60000000003</v>
      </c>
      <c r="K21">
        <f>sal_brut_fiscal(Donnees!S21,livre_paie!J21)</f>
        <v>368474.60000000003</v>
      </c>
      <c r="L21">
        <f t="shared" si="1"/>
        <v>20160</v>
      </c>
      <c r="M21">
        <f t="shared" si="2"/>
        <v>8843.3904000000002</v>
      </c>
      <c r="N21">
        <v>2500</v>
      </c>
      <c r="O21">
        <f>Taxe_RIM(Donnees!K21,livre_paie!K21)</f>
        <v>3600</v>
      </c>
      <c r="P21">
        <f>IR_Mensuel(K21,Donnees!J21,Donnees!L21)</f>
        <v>42434.765999999996</v>
      </c>
      <c r="S21">
        <f t="shared" si="3"/>
        <v>77538.156400000007</v>
      </c>
      <c r="U21">
        <f t="shared" si="4"/>
        <v>290936.4436</v>
      </c>
    </row>
    <row r="22" spans="1:21" x14ac:dyDescent="0.25">
      <c r="A22" t="s">
        <v>101</v>
      </c>
      <c r="B22" t="s">
        <v>102</v>
      </c>
      <c r="C22" t="s">
        <v>103</v>
      </c>
      <c r="D22">
        <v>29131</v>
      </c>
      <c r="E22" t="s">
        <v>104</v>
      </c>
      <c r="F22">
        <v>41</v>
      </c>
      <c r="G22" t="s">
        <v>2</v>
      </c>
      <c r="H22">
        <v>4</v>
      </c>
      <c r="I22" t="str">
        <f t="shared" si="0"/>
        <v>Cadre</v>
      </c>
      <c r="J22">
        <f>SBS(Donnees!H22,Donnees!L22,Donnees!M22,Donnees!N22,Donnees!O22,Donnees!P22,Donnees!Q22)</f>
        <v>372750.60000000003</v>
      </c>
      <c r="K22">
        <f>sal_brut_fiscal(Donnees!S22,livre_paie!J22)</f>
        <v>392750.60000000003</v>
      </c>
      <c r="L22">
        <f t="shared" si="1"/>
        <v>20160</v>
      </c>
      <c r="M22">
        <f t="shared" si="2"/>
        <v>8946.0144000000018</v>
      </c>
      <c r="O22">
        <f>Taxe_RIM(Donnees!K22,livre_paie!K22)</f>
        <v>4500</v>
      </c>
      <c r="P22">
        <f>IR_Mensuel(K22,Donnees!J22,Donnees!L22)</f>
        <v>48722.249999999993</v>
      </c>
      <c r="S22">
        <f t="shared" si="3"/>
        <v>82328.264399999985</v>
      </c>
      <c r="T22">
        <v>20000</v>
      </c>
      <c r="U22">
        <f t="shared" si="4"/>
        <v>310422.33560000005</v>
      </c>
    </row>
    <row r="23" spans="1:21" x14ac:dyDescent="0.25">
      <c r="A23" t="s">
        <v>105</v>
      </c>
      <c r="B23" t="s">
        <v>106</v>
      </c>
      <c r="C23" t="s">
        <v>103</v>
      </c>
      <c r="D23">
        <v>30174</v>
      </c>
      <c r="E23" t="s">
        <v>107</v>
      </c>
      <c r="F23">
        <v>38</v>
      </c>
      <c r="G23" t="s">
        <v>2</v>
      </c>
      <c r="H23">
        <v>3</v>
      </c>
      <c r="I23" t="str">
        <f t="shared" si="0"/>
        <v>Cadre</v>
      </c>
      <c r="J23">
        <f>SBS(Donnees!H23,Donnees!L23,Donnees!M23,Donnees!N23,Donnees!O23,Donnees!P23,Donnees!Q23)</f>
        <v>360126.60000000003</v>
      </c>
      <c r="K23">
        <f>sal_brut_fiscal(Donnees!S23,livre_paie!J23)</f>
        <v>360126.60000000003</v>
      </c>
      <c r="L23">
        <f t="shared" si="1"/>
        <v>20160</v>
      </c>
      <c r="M23">
        <f t="shared" si="2"/>
        <v>8643.0384000000013</v>
      </c>
      <c r="O23">
        <f>Taxe_RIM(Donnees!K23,livre_paie!K23)</f>
        <v>3600</v>
      </c>
      <c r="P23">
        <f>IR_Mensuel(K23,Donnees!J23,Donnees!L23)</f>
        <v>40272.634000000005</v>
      </c>
      <c r="S23">
        <f t="shared" si="3"/>
        <v>72675.67240000001</v>
      </c>
      <c r="U23">
        <f t="shared" si="4"/>
        <v>287450.92760000005</v>
      </c>
    </row>
    <row r="24" spans="1:21" x14ac:dyDescent="0.25">
      <c r="A24" t="s">
        <v>108</v>
      </c>
      <c r="B24" t="s">
        <v>109</v>
      </c>
      <c r="C24" t="s">
        <v>110</v>
      </c>
      <c r="D24">
        <v>27518</v>
      </c>
      <c r="E24" t="s">
        <v>111</v>
      </c>
      <c r="F24">
        <v>45</v>
      </c>
      <c r="G24" t="s">
        <v>2</v>
      </c>
      <c r="H24">
        <v>5</v>
      </c>
      <c r="I24" t="str">
        <f t="shared" si="0"/>
        <v>General</v>
      </c>
      <c r="J24">
        <f>SBS(Donnees!H24,Donnees!L24,Donnees!M24,Donnees!N24,Donnees!O24,Donnees!P24,Donnees!Q24)</f>
        <v>242561.05000000002</v>
      </c>
      <c r="K24">
        <f>sal_brut_fiscal(Donnees!S24,livre_paie!J24)</f>
        <v>242561.05000000002</v>
      </c>
      <c r="L24">
        <f t="shared" si="1"/>
        <v>13583.418800000001</v>
      </c>
      <c r="M24">
        <f t="shared" si="2"/>
        <v>0</v>
      </c>
      <c r="O24">
        <f>Taxe_RIM(Donnees!K24,livre_paie!K24)</f>
        <v>5400</v>
      </c>
      <c r="P24">
        <f>IR_Mensuel(K24,Donnees!J24,Donnees!L24)</f>
        <v>9823.29899999999</v>
      </c>
      <c r="S24">
        <f t="shared" si="3"/>
        <v>28806.717799999991</v>
      </c>
      <c r="U24">
        <f t="shared" si="4"/>
        <v>213754.33220000003</v>
      </c>
    </row>
    <row r="25" spans="1:21" x14ac:dyDescent="0.25">
      <c r="A25" t="s">
        <v>112</v>
      </c>
      <c r="B25" t="s">
        <v>113</v>
      </c>
      <c r="C25" t="s">
        <v>114</v>
      </c>
      <c r="D25">
        <v>29155</v>
      </c>
      <c r="E25" t="s">
        <v>115</v>
      </c>
      <c r="F25">
        <v>41</v>
      </c>
      <c r="G25" t="s">
        <v>2</v>
      </c>
      <c r="H25">
        <v>0</v>
      </c>
      <c r="I25" t="str">
        <f t="shared" si="0"/>
        <v>General</v>
      </c>
      <c r="J25">
        <f>SBS(Donnees!H25,Donnees!L25,Donnees!M25,Donnees!N25,Donnees!O25,Donnees!P25,Donnees!Q25)</f>
        <v>256156.05000000002</v>
      </c>
      <c r="K25">
        <f>sal_brut_fiscal(Donnees!S25,livre_paie!J25)</f>
        <v>256156.05000000002</v>
      </c>
      <c r="L25">
        <f t="shared" si="1"/>
        <v>14344.738800000001</v>
      </c>
      <c r="M25">
        <f t="shared" si="2"/>
        <v>0</v>
      </c>
      <c r="N25">
        <v>2500</v>
      </c>
      <c r="O25">
        <f>Taxe_RIM(Donnees!K25,livre_paie!K25)</f>
        <v>900</v>
      </c>
      <c r="P25">
        <f>IR_Mensuel(K25,Donnees!J25,Donnees!L25)</f>
        <v>13344.40399999999</v>
      </c>
      <c r="S25">
        <f t="shared" si="3"/>
        <v>31089.142799999987</v>
      </c>
      <c r="U25">
        <f t="shared" si="4"/>
        <v>225066.90720000002</v>
      </c>
    </row>
    <row r="26" spans="1:21" x14ac:dyDescent="0.25">
      <c r="A26" t="s">
        <v>116</v>
      </c>
      <c r="B26" t="s">
        <v>117</v>
      </c>
      <c r="C26" t="s">
        <v>114</v>
      </c>
      <c r="D26">
        <v>28582</v>
      </c>
      <c r="E26" t="s">
        <v>118</v>
      </c>
      <c r="F26">
        <v>42</v>
      </c>
      <c r="G26" t="s">
        <v>5</v>
      </c>
      <c r="H26">
        <v>0</v>
      </c>
      <c r="I26" t="str">
        <f t="shared" si="0"/>
        <v>General</v>
      </c>
      <c r="J26">
        <f>SBS(Donnees!H26,Donnees!L26,Donnees!M26,Donnees!N26,Donnees!O26,Donnees!P26,Donnees!Q26)</f>
        <v>249203.05000000002</v>
      </c>
      <c r="K26">
        <f>sal_brut_fiscal(Donnees!S26,livre_paie!J26)</f>
        <v>249203.05000000002</v>
      </c>
      <c r="L26">
        <f t="shared" si="1"/>
        <v>13955.370800000001</v>
      </c>
      <c r="M26">
        <f t="shared" si="2"/>
        <v>0</v>
      </c>
      <c r="N26">
        <v>3000</v>
      </c>
      <c r="O26">
        <f>Taxe_RIM(Donnees!K26,livre_paie!K26)</f>
        <v>900</v>
      </c>
      <c r="P26">
        <f>IR_Mensuel(K26,Donnees!J26,Donnees!L26)</f>
        <v>11543.576999999999</v>
      </c>
      <c r="Q26">
        <v>30000</v>
      </c>
      <c r="S26">
        <f t="shared" si="3"/>
        <v>59398.947800000002</v>
      </c>
      <c r="U26">
        <f t="shared" si="4"/>
        <v>189804.10220000002</v>
      </c>
    </row>
    <row r="27" spans="1:21" x14ac:dyDescent="0.25">
      <c r="A27" t="s">
        <v>119</v>
      </c>
      <c r="B27" t="s">
        <v>120</v>
      </c>
      <c r="C27" t="s">
        <v>121</v>
      </c>
      <c r="D27">
        <v>31255</v>
      </c>
      <c r="E27" t="s">
        <v>122</v>
      </c>
      <c r="F27">
        <v>35</v>
      </c>
      <c r="G27" t="s">
        <v>5</v>
      </c>
      <c r="H27">
        <v>0</v>
      </c>
      <c r="I27" t="str">
        <f t="shared" si="0"/>
        <v>General</v>
      </c>
      <c r="J27">
        <f>SBS(Donnees!H27,Donnees!L27,Donnees!M27,Donnees!N27,Donnees!O27,Donnees!P27,Donnees!Q27)</f>
        <v>269790.05</v>
      </c>
      <c r="K27">
        <f>sal_brut_fiscal(Donnees!S27,livre_paie!J27)</f>
        <v>269790.05</v>
      </c>
      <c r="L27">
        <f t="shared" si="1"/>
        <v>15108.2428</v>
      </c>
      <c r="M27">
        <f t="shared" si="2"/>
        <v>0</v>
      </c>
      <c r="O27">
        <f>Taxe_RIM(Donnees!K27,livre_paie!K27)</f>
        <v>900</v>
      </c>
      <c r="P27">
        <f>IR_Mensuel(K27,Donnees!J27,Donnees!L27)</f>
        <v>16875.609999999993</v>
      </c>
      <c r="S27">
        <f t="shared" si="3"/>
        <v>32883.852799999993</v>
      </c>
      <c r="U27">
        <f t="shared" si="4"/>
        <v>236906.1972</v>
      </c>
    </row>
    <row r="28" spans="1:21" x14ac:dyDescent="0.25">
      <c r="A28" t="s">
        <v>123</v>
      </c>
      <c r="B28" t="s">
        <v>84</v>
      </c>
      <c r="C28" t="s">
        <v>124</v>
      </c>
      <c r="D28">
        <v>31369</v>
      </c>
      <c r="E28" t="s">
        <v>125</v>
      </c>
      <c r="F28">
        <v>35</v>
      </c>
      <c r="G28" t="s">
        <v>5</v>
      </c>
      <c r="H28">
        <v>0</v>
      </c>
      <c r="I28" t="str">
        <f t="shared" si="0"/>
        <v>Cadre</v>
      </c>
      <c r="J28">
        <f>SBS(Donnees!H28,Donnees!L28,Donnees!M28,Donnees!N28,Donnees!O28,Donnees!P28,Donnees!Q28)</f>
        <v>469897.63000000006</v>
      </c>
      <c r="K28">
        <f>sal_brut_fiscal(Donnees!S28,livre_paie!J28)</f>
        <v>469897.63000000006</v>
      </c>
      <c r="L28">
        <f t="shared" si="1"/>
        <v>20160</v>
      </c>
      <c r="M28">
        <f t="shared" si="2"/>
        <v>11277.543120000002</v>
      </c>
      <c r="N28">
        <v>3000</v>
      </c>
      <c r="O28">
        <f>Taxe_RIM(Donnees!K28,livre_paie!K28)</f>
        <v>900</v>
      </c>
      <c r="P28">
        <f>IR_Mensuel(K28,Donnees!J28,Donnees!L28)</f>
        <v>68703.322999999989</v>
      </c>
      <c r="S28">
        <f t="shared" si="3"/>
        <v>104040.86611999999</v>
      </c>
      <c r="U28">
        <f t="shared" si="4"/>
        <v>365856.7638800001</v>
      </c>
    </row>
    <row r="29" spans="1:21" x14ac:dyDescent="0.25">
      <c r="A29" t="s">
        <v>126</v>
      </c>
      <c r="B29" t="s">
        <v>127</v>
      </c>
      <c r="C29" t="s">
        <v>128</v>
      </c>
      <c r="D29">
        <v>29901</v>
      </c>
      <c r="E29" t="s">
        <v>129</v>
      </c>
      <c r="F29">
        <v>39</v>
      </c>
      <c r="G29" t="s">
        <v>5</v>
      </c>
      <c r="H29">
        <v>0</v>
      </c>
      <c r="I29" t="str">
        <f t="shared" si="0"/>
        <v>Cadre</v>
      </c>
      <c r="J29">
        <f>SBS(Donnees!H29,Donnees!L29,Donnees!M29,Donnees!N29,Donnees!O29,Donnees!P29,Donnees!Q29)</f>
        <v>364266.60000000003</v>
      </c>
      <c r="K29">
        <f>sal_brut_fiscal(Donnees!S29,livre_paie!J29)</f>
        <v>364266.60000000003</v>
      </c>
      <c r="L29">
        <f t="shared" si="1"/>
        <v>20160</v>
      </c>
      <c r="M29">
        <f t="shared" si="2"/>
        <v>8742.3984000000019</v>
      </c>
      <c r="N29">
        <v>2500</v>
      </c>
      <c r="O29">
        <f>Taxe_RIM(Donnees!K29,livre_paie!K29)</f>
        <v>900</v>
      </c>
      <c r="P29">
        <f>IR_Mensuel(K29,Donnees!J29,Donnees!L29)</f>
        <v>41344.894000000008</v>
      </c>
      <c r="S29">
        <f t="shared" si="3"/>
        <v>73647.292400000006</v>
      </c>
      <c r="U29">
        <f t="shared" si="4"/>
        <v>290619.30760000006</v>
      </c>
    </row>
    <row r="30" spans="1:21" x14ac:dyDescent="0.25">
      <c r="A30" t="s">
        <v>130</v>
      </c>
      <c r="B30" t="s">
        <v>131</v>
      </c>
      <c r="C30" t="s">
        <v>132</v>
      </c>
      <c r="D30">
        <v>31169</v>
      </c>
      <c r="E30" t="s">
        <v>133</v>
      </c>
      <c r="F30">
        <v>35</v>
      </c>
      <c r="G30" t="s">
        <v>2</v>
      </c>
      <c r="H30">
        <v>2</v>
      </c>
      <c r="I30" t="str">
        <f t="shared" si="0"/>
        <v>Cadre</v>
      </c>
      <c r="J30">
        <f>SBS(Donnees!H30,Donnees!L30,Donnees!M30,Donnees!N30,Donnees!O30,Donnees!P30,Donnees!Q30)</f>
        <v>479897.63000000006</v>
      </c>
      <c r="K30">
        <f>sal_brut_fiscal(Donnees!S30,livre_paie!J30)</f>
        <v>479897.63000000006</v>
      </c>
      <c r="L30">
        <f t="shared" si="1"/>
        <v>20160</v>
      </c>
      <c r="M30">
        <f t="shared" si="2"/>
        <v>11517.543120000002</v>
      </c>
      <c r="O30">
        <f>Taxe_RIM(Donnees!K30,livre_paie!K30)</f>
        <v>2700</v>
      </c>
      <c r="P30">
        <f>IR_Mensuel(K30,Donnees!J30,Donnees!L30)</f>
        <v>71293.322999999989</v>
      </c>
      <c r="S30">
        <f t="shared" si="3"/>
        <v>105670.86611999999</v>
      </c>
      <c r="U30">
        <f t="shared" si="4"/>
        <v>374226.7638800001</v>
      </c>
    </row>
    <row r="31" spans="1:21" x14ac:dyDescent="0.25">
      <c r="A31" t="s">
        <v>134</v>
      </c>
      <c r="B31" t="s">
        <v>135</v>
      </c>
      <c r="C31" t="s">
        <v>136</v>
      </c>
      <c r="D31">
        <v>28845</v>
      </c>
      <c r="E31" t="s">
        <v>137</v>
      </c>
      <c r="F31">
        <v>42</v>
      </c>
      <c r="G31" t="s">
        <v>2</v>
      </c>
      <c r="H31">
        <v>7</v>
      </c>
      <c r="I31" t="str">
        <f t="shared" si="0"/>
        <v>Cadre</v>
      </c>
      <c r="J31">
        <f>SBS(Donnees!H31,Donnees!L31,Donnees!M31,Donnees!N31,Donnees!O31,Donnees!P31,Donnees!Q31)</f>
        <v>477897.63000000006</v>
      </c>
      <c r="K31">
        <f>sal_brut_fiscal(Donnees!S31,livre_paie!J31)</f>
        <v>477897.63000000006</v>
      </c>
      <c r="L31">
        <f t="shared" si="1"/>
        <v>20160</v>
      </c>
      <c r="M31">
        <f t="shared" si="2"/>
        <v>11469.543120000002</v>
      </c>
      <c r="N31">
        <v>3000</v>
      </c>
      <c r="O31">
        <f>Taxe_RIM(Donnees!K31,livre_paie!K31)</f>
        <v>7200</v>
      </c>
      <c r="P31">
        <f>IR_Mensuel(K31,Donnees!J31,Donnees!L31)</f>
        <v>70775.322999999989</v>
      </c>
      <c r="Q31">
        <v>12500</v>
      </c>
      <c r="S31">
        <f t="shared" si="3"/>
        <v>125104.86611999999</v>
      </c>
      <c r="U31">
        <f t="shared" si="4"/>
        <v>352792.7638800001</v>
      </c>
    </row>
    <row r="32" spans="1:21" x14ac:dyDescent="0.25">
      <c r="A32" t="s">
        <v>138</v>
      </c>
      <c r="B32" t="s">
        <v>139</v>
      </c>
      <c r="C32" t="s">
        <v>140</v>
      </c>
      <c r="D32">
        <v>28457</v>
      </c>
      <c r="E32" t="s">
        <v>141</v>
      </c>
      <c r="F32">
        <v>43</v>
      </c>
      <c r="G32" t="s">
        <v>2</v>
      </c>
      <c r="H32">
        <v>5</v>
      </c>
      <c r="I32" t="str">
        <f t="shared" si="0"/>
        <v>Cadre</v>
      </c>
      <c r="J32">
        <f>SBS(Donnees!H32,Donnees!L32,Donnees!M32,Donnees!N32,Donnees!O32,Donnees!P32,Donnees!Q32)</f>
        <v>469897.63000000006</v>
      </c>
      <c r="K32">
        <f>sal_brut_fiscal(Donnees!S32,livre_paie!J32)</f>
        <v>489897.63000000006</v>
      </c>
      <c r="L32">
        <f t="shared" si="1"/>
        <v>20160</v>
      </c>
      <c r="M32">
        <f t="shared" si="2"/>
        <v>11277.543120000002</v>
      </c>
      <c r="O32">
        <f>Taxe_RIM(Donnees!K32,livre_paie!K32)</f>
        <v>5400</v>
      </c>
      <c r="P32">
        <f>IR_Mensuel(K32,Donnees!J32,Donnees!L32)</f>
        <v>73883.322999999989</v>
      </c>
      <c r="S32">
        <f t="shared" si="3"/>
        <v>110720.86611999999</v>
      </c>
      <c r="T32">
        <v>20000</v>
      </c>
      <c r="U32">
        <f t="shared" si="4"/>
        <v>379176.7638800001</v>
      </c>
    </row>
    <row r="33" spans="1:21" x14ac:dyDescent="0.25">
      <c r="A33" t="s">
        <v>142</v>
      </c>
      <c r="B33" t="s">
        <v>143</v>
      </c>
      <c r="C33" t="s">
        <v>144</v>
      </c>
      <c r="D33">
        <v>31140</v>
      </c>
      <c r="E33" t="s">
        <v>145</v>
      </c>
      <c r="F33">
        <v>35</v>
      </c>
      <c r="G33" t="s">
        <v>2</v>
      </c>
      <c r="H33">
        <v>3</v>
      </c>
      <c r="I33" t="str">
        <f t="shared" si="0"/>
        <v>General</v>
      </c>
      <c r="J33">
        <f>SBS(Donnees!H33,Donnees!L33,Donnees!M33,Donnees!N33,Donnees!O33,Donnees!P33,Donnees!Q33)</f>
        <v>358610.60000000003</v>
      </c>
      <c r="K33">
        <f>sal_brut_fiscal(Donnees!S33,livre_paie!J33)</f>
        <v>358610.60000000003</v>
      </c>
      <c r="L33">
        <f t="shared" si="1"/>
        <v>20082.193600000002</v>
      </c>
      <c r="M33">
        <f t="shared" si="2"/>
        <v>0</v>
      </c>
      <c r="N33">
        <v>3000</v>
      </c>
      <c r="O33">
        <f>Taxe_RIM(Donnees!K33,livre_paie!K33)</f>
        <v>3600</v>
      </c>
      <c r="P33">
        <f>IR_Mensuel(K33,Donnees!J33,Donnees!L33)</f>
        <v>39879.989999999991</v>
      </c>
      <c r="S33">
        <f t="shared" si="3"/>
        <v>66562.183599999989</v>
      </c>
      <c r="U33">
        <f t="shared" si="4"/>
        <v>292048.41640000005</v>
      </c>
    </row>
    <row r="34" spans="1:21" x14ac:dyDescent="0.25">
      <c r="A34" t="s">
        <v>146</v>
      </c>
      <c r="B34" t="s">
        <v>147</v>
      </c>
      <c r="C34" t="s">
        <v>148</v>
      </c>
      <c r="D34">
        <v>28377</v>
      </c>
      <c r="E34" t="s">
        <v>149</v>
      </c>
      <c r="F34">
        <v>43</v>
      </c>
      <c r="G34" t="s">
        <v>2</v>
      </c>
      <c r="H34">
        <v>4</v>
      </c>
      <c r="I34" t="str">
        <f t="shared" si="0"/>
        <v>Cadre</v>
      </c>
      <c r="J34">
        <f>SBS(Donnees!H34,Donnees!L34,Donnees!M34,Donnees!N34,Donnees!O34,Donnees!P34,Donnees!Q34)</f>
        <v>362246.60000000003</v>
      </c>
      <c r="K34">
        <f>sal_brut_fiscal(Donnees!S34,livre_paie!J34)</f>
        <v>362246.60000000003</v>
      </c>
      <c r="L34">
        <f t="shared" si="1"/>
        <v>20160</v>
      </c>
      <c r="M34">
        <f t="shared" si="2"/>
        <v>8693.9184000000005</v>
      </c>
      <c r="N34">
        <v>3000</v>
      </c>
      <c r="O34">
        <f>Taxe_RIM(Donnees!K34,livre_paie!K34)</f>
        <v>4500</v>
      </c>
      <c r="P34">
        <f>IR_Mensuel(K34,Donnees!J34,Donnees!L34)</f>
        <v>40821.714</v>
      </c>
      <c r="S34">
        <f t="shared" si="3"/>
        <v>77175.632400000002</v>
      </c>
      <c r="U34">
        <f t="shared" si="4"/>
        <v>285070.96760000003</v>
      </c>
    </row>
    <row r="35" spans="1:21" x14ac:dyDescent="0.25">
      <c r="A35" t="s">
        <v>150</v>
      </c>
      <c r="B35" t="s">
        <v>151</v>
      </c>
      <c r="C35" t="s">
        <v>152</v>
      </c>
      <c r="D35">
        <v>27524</v>
      </c>
      <c r="E35" t="s">
        <v>153</v>
      </c>
      <c r="F35">
        <v>45</v>
      </c>
      <c r="G35" t="s">
        <v>2</v>
      </c>
      <c r="H35">
        <v>2</v>
      </c>
      <c r="I35" t="str">
        <f t="shared" si="0"/>
        <v>General</v>
      </c>
      <c r="J35">
        <f>SBS(Donnees!H35,Donnees!L35,Donnees!M35,Donnees!N35,Donnees!O35,Donnees!P35,Donnees!Q35)</f>
        <v>352550.60000000003</v>
      </c>
      <c r="K35">
        <f>sal_brut_fiscal(Donnees!S35,livre_paie!J35)</f>
        <v>377550.60000000003</v>
      </c>
      <c r="L35">
        <f t="shared" si="1"/>
        <v>19742.833600000002</v>
      </c>
      <c r="M35">
        <f t="shared" si="2"/>
        <v>0</v>
      </c>
      <c r="O35">
        <f>Taxe_RIM(Donnees!K35,livre_paie!K35)</f>
        <v>2700</v>
      </c>
      <c r="P35">
        <f>IR_Mensuel(K35,Donnees!J35,Donnees!L35)</f>
        <v>44785.44999999999</v>
      </c>
      <c r="Q35">
        <v>10000</v>
      </c>
      <c r="S35">
        <f t="shared" si="3"/>
        <v>77228.283599999995</v>
      </c>
      <c r="T35">
        <v>25000</v>
      </c>
      <c r="U35">
        <f t="shared" si="4"/>
        <v>300322.31640000001</v>
      </c>
    </row>
    <row r="36" spans="1:21" x14ac:dyDescent="0.25">
      <c r="A36" t="s">
        <v>154</v>
      </c>
      <c r="B36" t="s">
        <v>155</v>
      </c>
      <c r="C36" t="s">
        <v>156</v>
      </c>
      <c r="D36">
        <v>30179</v>
      </c>
      <c r="E36" t="s">
        <v>157</v>
      </c>
      <c r="F36">
        <v>38</v>
      </c>
      <c r="G36" t="s">
        <v>2</v>
      </c>
      <c r="H36">
        <v>4</v>
      </c>
      <c r="I36" t="str">
        <f t="shared" si="0"/>
        <v>General</v>
      </c>
      <c r="J36">
        <f>SBS(Donnees!H36,Donnees!L36,Donnees!M36,Donnees!N36,Donnees!O36,Donnees!P36,Donnees!Q36)</f>
        <v>354166.60000000003</v>
      </c>
      <c r="K36">
        <f>sal_brut_fiscal(Donnees!S36,livre_paie!J36)</f>
        <v>354166.60000000003</v>
      </c>
      <c r="L36">
        <f t="shared" si="1"/>
        <v>19833.329600000001</v>
      </c>
      <c r="M36">
        <f t="shared" si="2"/>
        <v>0</v>
      </c>
      <c r="O36">
        <f>Taxe_RIM(Donnees!K36,livre_paie!K36)</f>
        <v>4500</v>
      </c>
      <c r="P36">
        <f>IR_Mensuel(K36,Donnees!J36,Donnees!L36)</f>
        <v>38728.994000000006</v>
      </c>
      <c r="S36">
        <f t="shared" si="3"/>
        <v>63062.323600000003</v>
      </c>
      <c r="U36">
        <f t="shared" si="4"/>
        <v>291104.27640000003</v>
      </c>
    </row>
    <row r="37" spans="1:21" x14ac:dyDescent="0.25">
      <c r="A37" t="s">
        <v>158</v>
      </c>
      <c r="B37" t="s">
        <v>159</v>
      </c>
      <c r="C37" t="s">
        <v>160</v>
      </c>
      <c r="D37">
        <v>28296</v>
      </c>
      <c r="E37" t="s">
        <v>161</v>
      </c>
      <c r="F37">
        <v>43</v>
      </c>
      <c r="G37" t="s">
        <v>2</v>
      </c>
      <c r="H37">
        <v>6</v>
      </c>
      <c r="I37" t="str">
        <f t="shared" si="0"/>
        <v>General</v>
      </c>
      <c r="J37">
        <f>SBS(Donnees!H37,Donnees!L37,Donnees!M37,Donnees!N37,Donnees!O37,Donnees!P37,Donnees!Q37)</f>
        <v>358206.60000000003</v>
      </c>
      <c r="K37">
        <f>sal_brut_fiscal(Donnees!S37,livre_paie!J37)</f>
        <v>358206.60000000003</v>
      </c>
      <c r="L37">
        <f t="shared" si="1"/>
        <v>20059.569600000003</v>
      </c>
      <c r="M37">
        <f t="shared" si="2"/>
        <v>0</v>
      </c>
      <c r="O37">
        <f>Taxe_RIM(Donnees!K37,livre_paie!K37)</f>
        <v>6300</v>
      </c>
      <c r="P37">
        <f>IR_Mensuel(K37,Donnees!J37,Donnees!L37)</f>
        <v>39775.354000000007</v>
      </c>
      <c r="Q37">
        <v>13000</v>
      </c>
      <c r="S37">
        <f t="shared" si="3"/>
        <v>79134.923600000009</v>
      </c>
      <c r="U37">
        <f t="shared" si="4"/>
        <v>279071.6764</v>
      </c>
    </row>
    <row r="38" spans="1:21" x14ac:dyDescent="0.25">
      <c r="A38" t="s">
        <v>162</v>
      </c>
      <c r="B38" t="s">
        <v>144</v>
      </c>
      <c r="C38" t="s">
        <v>163</v>
      </c>
      <c r="D38">
        <v>28795</v>
      </c>
      <c r="E38" t="s">
        <v>68</v>
      </c>
      <c r="F38">
        <v>42</v>
      </c>
      <c r="G38" t="s">
        <v>5</v>
      </c>
      <c r="H38">
        <v>0</v>
      </c>
      <c r="I38" t="str">
        <f t="shared" si="0"/>
        <v>General</v>
      </c>
      <c r="J38">
        <f>SBS(Donnees!H38,Donnees!L38,Donnees!M38,Donnees!N38,Donnees!O38,Donnees!P38,Donnees!Q38)</f>
        <v>250062.05000000002</v>
      </c>
      <c r="K38">
        <f>sal_brut_fiscal(Donnees!S38,livre_paie!J38)</f>
        <v>250062.05000000002</v>
      </c>
      <c r="L38">
        <f t="shared" si="1"/>
        <v>14003.474800000002</v>
      </c>
      <c r="M38">
        <f t="shared" si="2"/>
        <v>0</v>
      </c>
      <c r="N38">
        <v>3000</v>
      </c>
      <c r="O38">
        <f>Taxe_RIM(Donnees!K38,livre_paie!K38)</f>
        <v>900</v>
      </c>
      <c r="P38">
        <f>IR_Mensuel(K38,Donnees!J38,Donnees!L38)</f>
        <v>11766.057999999988</v>
      </c>
      <c r="S38">
        <f t="shared" si="3"/>
        <v>29669.532799999994</v>
      </c>
      <c r="U38">
        <f t="shared" si="4"/>
        <v>220392.51720000003</v>
      </c>
    </row>
    <row r="39" spans="1:21" x14ac:dyDescent="0.25">
      <c r="A39" t="s">
        <v>164</v>
      </c>
      <c r="B39" t="s">
        <v>165</v>
      </c>
      <c r="C39" t="s">
        <v>163</v>
      </c>
      <c r="D39">
        <v>27843</v>
      </c>
      <c r="E39" t="s">
        <v>72</v>
      </c>
      <c r="F39">
        <v>44</v>
      </c>
      <c r="G39" t="s">
        <v>5</v>
      </c>
      <c r="H39">
        <v>0</v>
      </c>
      <c r="I39" t="str">
        <f t="shared" si="0"/>
        <v>Cadre</v>
      </c>
      <c r="J39">
        <f>SBS(Donnees!H39,Donnees!L39,Donnees!M39,Donnees!N39,Donnees!O39,Donnees!P39,Donnees!Q39)</f>
        <v>479897.63000000006</v>
      </c>
      <c r="K39">
        <f>sal_brut_fiscal(Donnees!S39,livre_paie!J39)</f>
        <v>479897.63000000006</v>
      </c>
      <c r="L39">
        <f t="shared" si="1"/>
        <v>20160</v>
      </c>
      <c r="M39">
        <f t="shared" si="2"/>
        <v>11517.543120000002</v>
      </c>
      <c r="O39">
        <f>Taxe_RIM(Donnees!K39,livre_paie!K39)</f>
        <v>900</v>
      </c>
      <c r="P39">
        <f>IR_Mensuel(K39,Donnees!J39,Donnees!L39)</f>
        <v>71293.322999999989</v>
      </c>
      <c r="Q39">
        <v>10000</v>
      </c>
      <c r="S39">
        <f t="shared" si="3"/>
        <v>113870.86611999999</v>
      </c>
      <c r="U39">
        <f t="shared" si="4"/>
        <v>366026.7638800001</v>
      </c>
    </row>
    <row r="40" spans="1:21" x14ac:dyDescent="0.25">
      <c r="A40" t="s">
        <v>166</v>
      </c>
      <c r="B40" t="s">
        <v>167</v>
      </c>
      <c r="C40" t="s">
        <v>168</v>
      </c>
      <c r="D40">
        <v>28052</v>
      </c>
      <c r="E40" t="s">
        <v>51</v>
      </c>
      <c r="F40">
        <v>44</v>
      </c>
      <c r="G40" t="s">
        <v>5</v>
      </c>
      <c r="H40">
        <v>0</v>
      </c>
      <c r="I40" t="str">
        <f t="shared" si="0"/>
        <v>General</v>
      </c>
      <c r="J40">
        <f>SBS(Donnees!H40,Donnees!L40,Donnees!M40,Donnees!N40,Donnees!O40,Donnees!P40,Donnees!Q40)</f>
        <v>240062.05000000002</v>
      </c>
      <c r="K40">
        <f>sal_brut_fiscal(Donnees!S40,livre_paie!J40)</f>
        <v>240062.05000000002</v>
      </c>
      <c r="L40">
        <f t="shared" si="1"/>
        <v>13443.474800000002</v>
      </c>
      <c r="M40">
        <f t="shared" si="2"/>
        <v>0</v>
      </c>
      <c r="O40">
        <f>Taxe_RIM(Donnees!K40,livre_paie!K40)</f>
        <v>900</v>
      </c>
      <c r="P40">
        <f>IR_Mensuel(K40,Donnees!J40,Donnees!L40)</f>
        <v>9176.0579999999954</v>
      </c>
      <c r="S40">
        <f t="shared" si="3"/>
        <v>23519.532799999997</v>
      </c>
      <c r="U40">
        <f t="shared" si="4"/>
        <v>216542.51720000003</v>
      </c>
    </row>
    <row r="41" spans="1:21" x14ac:dyDescent="0.25">
      <c r="A41" t="s">
        <v>169</v>
      </c>
      <c r="B41" t="s">
        <v>170</v>
      </c>
      <c r="C41" t="s">
        <v>168</v>
      </c>
      <c r="D41">
        <v>29722</v>
      </c>
      <c r="E41" t="s">
        <v>43</v>
      </c>
      <c r="F41">
        <v>39</v>
      </c>
      <c r="G41" t="s">
        <v>5</v>
      </c>
      <c r="H41">
        <v>0</v>
      </c>
      <c r="I41" t="str">
        <f t="shared" si="0"/>
        <v>General</v>
      </c>
      <c r="J41">
        <f>SBS(Donnees!H41,Donnees!L41,Donnees!M41,Donnees!N41,Donnees!O41,Donnees!P41,Donnees!Q41)</f>
        <v>244494.05000000002</v>
      </c>
      <c r="K41">
        <f>sal_brut_fiscal(Donnees!S41,livre_paie!J41)</f>
        <v>244494.05000000002</v>
      </c>
      <c r="L41">
        <f t="shared" si="1"/>
        <v>13691.666800000001</v>
      </c>
      <c r="M41">
        <f t="shared" si="2"/>
        <v>0</v>
      </c>
      <c r="N41">
        <v>5000</v>
      </c>
      <c r="O41">
        <f>Taxe_RIM(Donnees!K41,livre_paie!K41)</f>
        <v>900</v>
      </c>
      <c r="P41">
        <f>IR_Mensuel(K41,Donnees!J41,Donnees!L41)</f>
        <v>10323.945999999996</v>
      </c>
      <c r="S41">
        <f t="shared" si="3"/>
        <v>29915.612799999995</v>
      </c>
      <c r="U41">
        <f t="shared" si="4"/>
        <v>214578.43720000001</v>
      </c>
    </row>
    <row r="42" spans="1:21" x14ac:dyDescent="0.25">
      <c r="A42" t="s">
        <v>171</v>
      </c>
      <c r="B42" t="s">
        <v>172</v>
      </c>
      <c r="C42" t="s">
        <v>173</v>
      </c>
      <c r="D42">
        <v>28366</v>
      </c>
      <c r="E42" t="s">
        <v>31</v>
      </c>
      <c r="F42">
        <v>43</v>
      </c>
      <c r="G42" t="s">
        <v>5</v>
      </c>
      <c r="H42">
        <v>1</v>
      </c>
      <c r="I42" t="str">
        <f t="shared" si="0"/>
        <v>Cadre</v>
      </c>
      <c r="J42">
        <f>SBS(Donnees!H42,Donnees!L42,Donnees!M42,Donnees!N42,Donnees!O42,Donnees!P42,Donnees!Q42)</f>
        <v>469897.63000000006</v>
      </c>
      <c r="K42">
        <f>sal_brut_fiscal(Donnees!S42,livre_paie!J42)</f>
        <v>469897.63000000006</v>
      </c>
      <c r="L42">
        <f t="shared" si="1"/>
        <v>20160</v>
      </c>
      <c r="M42">
        <f t="shared" si="2"/>
        <v>11277.543120000002</v>
      </c>
      <c r="N42">
        <v>2500</v>
      </c>
      <c r="O42">
        <f>Taxe_RIM(Donnees!K42,livre_paie!K42)</f>
        <v>1800</v>
      </c>
      <c r="P42">
        <f>IR_Mensuel(K42,Donnees!J42,Donnees!L42)</f>
        <v>68703.322999999989</v>
      </c>
      <c r="R42">
        <v>30000</v>
      </c>
      <c r="S42">
        <f t="shared" si="3"/>
        <v>134440.86611999999</v>
      </c>
      <c r="U42">
        <f t="shared" si="4"/>
        <v>335456.7638800001</v>
      </c>
    </row>
    <row r="43" spans="1:21" x14ac:dyDescent="0.25">
      <c r="A43" t="s">
        <v>174</v>
      </c>
      <c r="B43" t="s">
        <v>175</v>
      </c>
      <c r="C43" t="s">
        <v>176</v>
      </c>
      <c r="D43">
        <v>28234</v>
      </c>
      <c r="E43" t="s">
        <v>177</v>
      </c>
      <c r="F43">
        <v>43</v>
      </c>
      <c r="G43" t="s">
        <v>2</v>
      </c>
      <c r="H43">
        <v>5</v>
      </c>
      <c r="I43" t="str">
        <f t="shared" si="0"/>
        <v>General</v>
      </c>
      <c r="J43">
        <f>SBS(Donnees!H43,Donnees!L43,Donnees!M43,Donnees!N43,Donnees!O43,Donnees!P43,Donnees!Q43)</f>
        <v>240062.05000000002</v>
      </c>
      <c r="K43">
        <f>sal_brut_fiscal(Donnees!S43,livre_paie!J43)</f>
        <v>240062.05000000002</v>
      </c>
      <c r="L43">
        <f t="shared" si="1"/>
        <v>13443.474800000002</v>
      </c>
      <c r="M43">
        <f t="shared" si="2"/>
        <v>0</v>
      </c>
      <c r="O43">
        <f>Taxe_RIM(Donnees!K43,livre_paie!K43)</f>
        <v>5400</v>
      </c>
      <c r="P43">
        <f>IR_Mensuel(K43,Donnees!J43,Donnees!L43)</f>
        <v>9176.0579999999954</v>
      </c>
      <c r="Q43">
        <v>10000</v>
      </c>
      <c r="S43">
        <f t="shared" si="3"/>
        <v>38019.532800000001</v>
      </c>
      <c r="U43">
        <f t="shared" si="4"/>
        <v>202042.5172</v>
      </c>
    </row>
    <row r="44" spans="1:21" x14ac:dyDescent="0.25">
      <c r="A44" t="s">
        <v>178</v>
      </c>
      <c r="B44" t="s">
        <v>179</v>
      </c>
      <c r="C44" t="s">
        <v>180</v>
      </c>
      <c r="D44">
        <v>29024</v>
      </c>
      <c r="E44" t="s">
        <v>181</v>
      </c>
      <c r="F44">
        <v>41</v>
      </c>
      <c r="G44" t="s">
        <v>2</v>
      </c>
      <c r="H44">
        <v>1</v>
      </c>
      <c r="I44" t="str">
        <f t="shared" si="0"/>
        <v>General</v>
      </c>
      <c r="J44">
        <f>SBS(Donnees!H44,Donnees!L44,Donnees!M44,Donnees!N44,Donnees!O44,Donnees!P44,Donnees!Q44)</f>
        <v>248649.05000000002</v>
      </c>
      <c r="K44">
        <f>sal_brut_fiscal(Donnees!S44,livre_paie!J44)</f>
        <v>268649.05000000005</v>
      </c>
      <c r="L44">
        <f t="shared" si="1"/>
        <v>13924.346800000001</v>
      </c>
      <c r="M44">
        <f t="shared" si="2"/>
        <v>0</v>
      </c>
      <c r="O44">
        <f>Taxe_RIM(Donnees!K44,livre_paie!K44)</f>
        <v>1800</v>
      </c>
      <c r="P44">
        <f>IR_Mensuel(K44,Donnees!J44,Donnees!L44)</f>
        <v>16580.090999999997</v>
      </c>
      <c r="S44">
        <f t="shared" si="3"/>
        <v>32304.4378</v>
      </c>
      <c r="T44">
        <v>20000</v>
      </c>
      <c r="U44">
        <f t="shared" si="4"/>
        <v>236344.61220000003</v>
      </c>
    </row>
    <row r="45" spans="1:21" x14ac:dyDescent="0.25">
      <c r="A45" t="s">
        <v>182</v>
      </c>
      <c r="B45" t="s">
        <v>183</v>
      </c>
      <c r="C45" t="s">
        <v>184</v>
      </c>
      <c r="D45">
        <v>27798</v>
      </c>
      <c r="E45" t="s">
        <v>145</v>
      </c>
      <c r="F45">
        <v>44</v>
      </c>
      <c r="G45" t="s">
        <v>2</v>
      </c>
      <c r="H45">
        <v>1</v>
      </c>
      <c r="I45" t="str">
        <f t="shared" si="0"/>
        <v>Cadre</v>
      </c>
      <c r="J45">
        <f>SBS(Donnees!H45,Donnees!L45,Donnees!M45,Donnees!N45,Donnees!O45,Donnees!P45,Donnees!Q45)</f>
        <v>362650.60000000003</v>
      </c>
      <c r="K45">
        <f>sal_brut_fiscal(Donnees!S45,livre_paie!J45)</f>
        <v>382650.60000000003</v>
      </c>
      <c r="L45">
        <f t="shared" si="1"/>
        <v>20160</v>
      </c>
      <c r="M45">
        <f t="shared" si="2"/>
        <v>8703.6144000000004</v>
      </c>
      <c r="N45">
        <v>2500</v>
      </c>
      <c r="O45">
        <f>Taxe_RIM(Donnees!K45,livre_paie!K45)</f>
        <v>1800</v>
      </c>
      <c r="P45">
        <f>IR_Mensuel(K45,Donnees!J45,Donnees!L45)</f>
        <v>46106.35</v>
      </c>
      <c r="S45">
        <f t="shared" si="3"/>
        <v>79269.964399999997</v>
      </c>
      <c r="U45">
        <f t="shared" si="4"/>
        <v>283380.63560000004</v>
      </c>
    </row>
    <row r="46" spans="1:21" x14ac:dyDescent="0.25">
      <c r="A46" t="s">
        <v>185</v>
      </c>
      <c r="B46" t="s">
        <v>186</v>
      </c>
      <c r="C46" t="s">
        <v>187</v>
      </c>
      <c r="D46">
        <v>30764</v>
      </c>
      <c r="E46" t="s">
        <v>188</v>
      </c>
      <c r="F46">
        <v>36</v>
      </c>
      <c r="G46" t="s">
        <v>2</v>
      </c>
      <c r="H46">
        <v>2</v>
      </c>
      <c r="I46" t="str">
        <f t="shared" si="0"/>
        <v>Cadre</v>
      </c>
      <c r="J46">
        <f>SBS(Donnees!H46,Donnees!L46,Donnees!M46,Donnees!N46,Donnees!O46,Donnees!P46,Donnees!Q46)</f>
        <v>362666.60000000003</v>
      </c>
      <c r="K46">
        <f>sal_brut_fiscal(Donnees!S46,livre_paie!J46)</f>
        <v>362666.60000000003</v>
      </c>
      <c r="L46">
        <f t="shared" si="1"/>
        <v>20160</v>
      </c>
      <c r="M46">
        <f t="shared" si="2"/>
        <v>8703.9984000000004</v>
      </c>
      <c r="O46">
        <f>Taxe_RIM(Donnees!K46,livre_paie!K46)</f>
        <v>1800</v>
      </c>
      <c r="P46">
        <f>IR_Mensuel(K46,Donnees!J46,Donnees!L46)</f>
        <v>40930.494000000006</v>
      </c>
      <c r="S46">
        <f t="shared" si="3"/>
        <v>71594.492400000003</v>
      </c>
      <c r="U46">
        <f t="shared" si="4"/>
        <v>291072.10760000005</v>
      </c>
    </row>
    <row r="47" spans="1:21" x14ac:dyDescent="0.25">
      <c r="A47" t="s">
        <v>189</v>
      </c>
      <c r="B47" t="s">
        <v>190</v>
      </c>
      <c r="C47" t="s">
        <v>191</v>
      </c>
      <c r="D47">
        <v>31015</v>
      </c>
      <c r="E47" t="s">
        <v>86</v>
      </c>
      <c r="F47">
        <v>36</v>
      </c>
      <c r="G47" t="s">
        <v>2</v>
      </c>
      <c r="H47">
        <v>1</v>
      </c>
      <c r="I47" t="str">
        <f t="shared" si="0"/>
        <v>Cadre</v>
      </c>
      <c r="J47">
        <f>SBS(Donnees!H47,Donnees!L47,Donnees!M47,Donnees!N47,Donnees!O47,Donnees!P47,Donnees!Q47)</f>
        <v>364670.60000000003</v>
      </c>
      <c r="K47">
        <f>sal_brut_fiscal(Donnees!S47,livre_paie!J47)</f>
        <v>364670.60000000003</v>
      </c>
      <c r="L47">
        <f t="shared" si="1"/>
        <v>20160</v>
      </c>
      <c r="M47">
        <f t="shared" si="2"/>
        <v>8752.0944000000018</v>
      </c>
      <c r="O47">
        <f>Taxe_RIM(Donnees!K47,livre_paie!K47)</f>
        <v>1800</v>
      </c>
      <c r="P47">
        <f>IR_Mensuel(K47,Donnees!J47,Donnees!L47)</f>
        <v>41449.529999999992</v>
      </c>
      <c r="Q47">
        <v>15000</v>
      </c>
      <c r="S47">
        <f t="shared" si="3"/>
        <v>87161.624400000001</v>
      </c>
      <c r="U47">
        <f t="shared" si="4"/>
        <v>277508.97560000001</v>
      </c>
    </row>
    <row r="48" spans="1:21" x14ac:dyDescent="0.25">
      <c r="A48" t="s">
        <v>192</v>
      </c>
      <c r="B48" t="s">
        <v>193</v>
      </c>
      <c r="C48" t="s">
        <v>194</v>
      </c>
      <c r="D48">
        <v>27960</v>
      </c>
      <c r="E48" t="s">
        <v>107</v>
      </c>
      <c r="F48">
        <v>44</v>
      </c>
      <c r="G48" t="s">
        <v>2</v>
      </c>
      <c r="H48">
        <v>5</v>
      </c>
      <c r="I48" t="str">
        <f t="shared" si="0"/>
        <v>General</v>
      </c>
      <c r="J48">
        <f>SBS(Donnees!H48,Donnees!L48,Donnees!M48,Donnees!N48,Donnees!O48,Donnees!P48,Donnees!Q48)</f>
        <v>356186.60000000003</v>
      </c>
      <c r="K48">
        <f>sal_brut_fiscal(Donnees!S48,livre_paie!J48)</f>
        <v>356186.60000000003</v>
      </c>
      <c r="L48">
        <f t="shared" si="1"/>
        <v>19946.449600000004</v>
      </c>
      <c r="M48">
        <f t="shared" si="2"/>
        <v>0</v>
      </c>
      <c r="O48">
        <f>Taxe_RIM(Donnees!K48,livre_paie!K48)</f>
        <v>5400</v>
      </c>
      <c r="P48">
        <f>IR_Mensuel(K48,Donnees!J48,Donnees!L48)</f>
        <v>39252.174000000006</v>
      </c>
      <c r="S48">
        <f t="shared" si="3"/>
        <v>64598.623600000006</v>
      </c>
      <c r="U48">
        <f t="shared" si="4"/>
        <v>291587.97640000004</v>
      </c>
    </row>
    <row r="49" spans="1:21" x14ac:dyDescent="0.25">
      <c r="A49" t="s">
        <v>195</v>
      </c>
      <c r="B49" t="s">
        <v>196</v>
      </c>
      <c r="C49" t="s">
        <v>194</v>
      </c>
      <c r="D49">
        <v>31257</v>
      </c>
      <c r="E49" t="s">
        <v>125</v>
      </c>
      <c r="F49">
        <v>35</v>
      </c>
      <c r="G49" t="s">
        <v>2</v>
      </c>
      <c r="H49">
        <v>2</v>
      </c>
      <c r="I49" t="str">
        <f t="shared" si="0"/>
        <v>Cadre</v>
      </c>
      <c r="J49">
        <f>SBS(Donnees!H49,Donnees!L49,Donnees!M49,Donnees!N49,Donnees!O49,Donnees!P49,Donnees!Q49)</f>
        <v>364626.60000000003</v>
      </c>
      <c r="K49">
        <f>sal_brut_fiscal(Donnees!S49,livre_paie!J49)</f>
        <v>389626.60000000003</v>
      </c>
      <c r="L49">
        <f t="shared" si="1"/>
        <v>20160</v>
      </c>
      <c r="M49">
        <f t="shared" si="2"/>
        <v>8751.0384000000013</v>
      </c>
      <c r="N49">
        <v>3000</v>
      </c>
      <c r="O49">
        <f>Taxe_RIM(Donnees!K49,livre_paie!K49)</f>
        <v>2700</v>
      </c>
      <c r="P49">
        <f>IR_Mensuel(K49,Donnees!J49,Donnees!L49)</f>
        <v>47913.133999999998</v>
      </c>
      <c r="Q49">
        <v>14500</v>
      </c>
      <c r="S49">
        <f t="shared" si="3"/>
        <v>97024.17240000001</v>
      </c>
      <c r="T49">
        <v>25000</v>
      </c>
      <c r="U49">
        <f t="shared" si="4"/>
        <v>292602.42760000005</v>
      </c>
    </row>
    <row r="50" spans="1:21" x14ac:dyDescent="0.25">
      <c r="A50" t="s">
        <v>197</v>
      </c>
      <c r="B50" t="s">
        <v>198</v>
      </c>
      <c r="C50" t="s">
        <v>199</v>
      </c>
      <c r="D50">
        <v>31160</v>
      </c>
      <c r="E50" t="s">
        <v>31</v>
      </c>
      <c r="F50">
        <v>35</v>
      </c>
      <c r="G50" t="s">
        <v>2</v>
      </c>
      <c r="H50">
        <v>5</v>
      </c>
      <c r="I50" t="str">
        <f t="shared" si="0"/>
        <v>General</v>
      </c>
      <c r="J50">
        <f>SBS(Donnees!H50,Donnees!L50,Donnees!M50,Donnees!N50,Donnees!O50,Donnees!P50,Donnees!Q50)</f>
        <v>352550.60000000003</v>
      </c>
      <c r="K50">
        <f>sal_brut_fiscal(Donnees!S50,livre_paie!J50)</f>
        <v>352550.60000000003</v>
      </c>
      <c r="L50">
        <f t="shared" si="1"/>
        <v>19742.833600000002</v>
      </c>
      <c r="M50">
        <f t="shared" si="2"/>
        <v>0</v>
      </c>
      <c r="O50">
        <f>Taxe_RIM(Donnees!K50,livre_paie!K50)</f>
        <v>5400</v>
      </c>
      <c r="P50">
        <f>IR_Mensuel(K50,Donnees!J50,Donnees!L50)</f>
        <v>38310.44999999999</v>
      </c>
      <c r="S50">
        <f t="shared" si="3"/>
        <v>63453.283599999995</v>
      </c>
      <c r="U50">
        <f t="shared" si="4"/>
        <v>289097.31640000001</v>
      </c>
    </row>
    <row r="51" spans="1:21" x14ac:dyDescent="0.25">
      <c r="A51" t="s">
        <v>200</v>
      </c>
      <c r="B51" t="s">
        <v>201</v>
      </c>
      <c r="C51" t="s">
        <v>202</v>
      </c>
      <c r="D51">
        <v>29941</v>
      </c>
      <c r="E51" t="s">
        <v>104</v>
      </c>
      <c r="F51">
        <v>39</v>
      </c>
      <c r="G51" t="s">
        <v>5</v>
      </c>
      <c r="H51">
        <v>0</v>
      </c>
      <c r="I51" t="str">
        <f t="shared" si="0"/>
        <v>Cadre</v>
      </c>
      <c r="J51">
        <f>SBS(Donnees!H51,Donnees!L51,Donnees!M51,Donnees!N51,Donnees!O51,Donnees!P51,Donnees!Q51)</f>
        <v>364802.60000000003</v>
      </c>
      <c r="K51">
        <f>sal_brut_fiscal(Donnees!S51,livre_paie!J51)</f>
        <v>364802.60000000003</v>
      </c>
      <c r="L51">
        <f t="shared" si="1"/>
        <v>20160</v>
      </c>
      <c r="M51">
        <f t="shared" si="2"/>
        <v>8755.2624000000014</v>
      </c>
      <c r="N51">
        <v>3000</v>
      </c>
      <c r="O51">
        <f>Taxe_RIM(Donnees!K51,livre_paie!K51)</f>
        <v>900</v>
      </c>
      <c r="P51">
        <f>IR_Mensuel(K51,Donnees!J51,Donnees!L51)</f>
        <v>41483.717999999986</v>
      </c>
      <c r="Q51">
        <v>13500</v>
      </c>
      <c r="S51">
        <f t="shared" si="3"/>
        <v>87798.980399999986</v>
      </c>
      <c r="U51">
        <f t="shared" si="4"/>
        <v>277003.61960000003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2:E22"/>
  <sheetViews>
    <sheetView topLeftCell="A2" workbookViewId="0">
      <selection activeCell="H17" sqref="H17"/>
    </sheetView>
  </sheetViews>
  <sheetFormatPr baseColWidth="10" defaultRowHeight="15" x14ac:dyDescent="0.25"/>
  <cols>
    <col min="1" max="1" width="17.28515625" customWidth="1"/>
    <col min="2" max="2" width="12.42578125" customWidth="1"/>
    <col min="3" max="3" width="17.7109375" customWidth="1"/>
    <col min="4" max="4" width="17.140625" customWidth="1"/>
    <col min="5" max="5" width="25.5703125" customWidth="1"/>
    <col min="6" max="6" width="29" customWidth="1"/>
    <col min="7" max="7" width="17.85546875" customWidth="1"/>
    <col min="8" max="8" width="19.140625" customWidth="1"/>
    <col min="9" max="9" width="17.28515625" customWidth="1"/>
    <col min="10" max="10" width="16.85546875" customWidth="1"/>
    <col min="11" max="11" width="31.5703125" customWidth="1"/>
    <col min="13" max="13" width="33.42578125" customWidth="1"/>
    <col min="14" max="14" width="11.42578125" customWidth="1"/>
  </cols>
  <sheetData>
    <row r="2" spans="1:5" x14ac:dyDescent="0.25">
      <c r="A2" s="13" t="s">
        <v>273</v>
      </c>
      <c r="B2" s="14"/>
      <c r="C2" s="14"/>
      <c r="D2" s="14"/>
      <c r="E2" s="14"/>
    </row>
    <row r="3" spans="1:5" x14ac:dyDescent="0.25">
      <c r="A3" s="14"/>
      <c r="B3" s="14"/>
      <c r="C3" s="14"/>
      <c r="D3" s="14"/>
      <c r="E3" s="14"/>
    </row>
    <row r="5" spans="1:5" x14ac:dyDescent="0.25">
      <c r="A5" s="10" t="s">
        <v>267</v>
      </c>
      <c r="B5" s="10" t="s">
        <v>216</v>
      </c>
      <c r="C5" s="10" t="s">
        <v>268</v>
      </c>
      <c r="D5" s="10" t="s">
        <v>269</v>
      </c>
      <c r="E5" s="10" t="s">
        <v>272</v>
      </c>
    </row>
    <row r="6" spans="1:5" x14ac:dyDescent="0.25">
      <c r="A6" s="10">
        <f>SUM(livre_paie!Q2:Q51)</f>
        <v>291000</v>
      </c>
      <c r="B6" s="10">
        <v>291000</v>
      </c>
      <c r="C6" s="10">
        <f>SUM(livre_paie!J2:J51)</f>
        <v>17565669.530000005</v>
      </c>
      <c r="D6" s="10">
        <f>SUM(livre_paie!T2:T51)</f>
        <v>202000</v>
      </c>
      <c r="E6" s="10">
        <f>C6+D6</f>
        <v>17767669.530000005</v>
      </c>
    </row>
    <row r="9" spans="1:5" x14ac:dyDescent="0.25">
      <c r="A9" s="13" t="s">
        <v>274</v>
      </c>
      <c r="B9" s="15"/>
      <c r="C9" s="15"/>
      <c r="D9" s="15"/>
      <c r="E9" s="15"/>
    </row>
    <row r="10" spans="1:5" x14ac:dyDescent="0.25">
      <c r="A10" s="15"/>
      <c r="B10" s="15"/>
      <c r="C10" s="15"/>
      <c r="D10" s="15"/>
      <c r="E10" s="15"/>
    </row>
    <row r="12" spans="1:5" x14ac:dyDescent="0.25">
      <c r="A12" s="10" t="s">
        <v>270</v>
      </c>
      <c r="B12" s="10" t="s">
        <v>267</v>
      </c>
      <c r="C12" s="10" t="s">
        <v>217</v>
      </c>
      <c r="D12" s="10" t="s">
        <v>218</v>
      </c>
      <c r="E12" s="10" t="s">
        <v>219</v>
      </c>
    </row>
    <row r="13" spans="1:5" x14ac:dyDescent="0.25">
      <c r="A13" s="10">
        <f>SUM(livre_paie!S2:S51)</f>
        <v>3691331.9151199991</v>
      </c>
      <c r="B13" s="10">
        <f>SUM(livre_paie!Q2:Q51)</f>
        <v>291000</v>
      </c>
      <c r="C13" s="10">
        <f>SUM(livre_paie!L2:L51)</f>
        <v>906456.27520000015</v>
      </c>
      <c r="D13" s="10">
        <f>SUM(livre_paie!M2:M51)</f>
        <v>249094.80792000002</v>
      </c>
      <c r="E13" s="10">
        <f>SUM(livre_paie!N2:N51)</f>
        <v>74500</v>
      </c>
    </row>
    <row r="15" spans="1:5" x14ac:dyDescent="0.25">
      <c r="A15" s="10" t="s">
        <v>271</v>
      </c>
      <c r="B15" s="10" t="s">
        <v>220</v>
      </c>
      <c r="C15" s="10" t="s">
        <v>272</v>
      </c>
    </row>
    <row r="16" spans="1:5" x14ac:dyDescent="0.25">
      <c r="A16" s="10">
        <f>SUM(livre_paie!O2:O51)+SUM(livre_paie!P2:P51)</f>
        <v>2105280.8319999999</v>
      </c>
      <c r="B16" s="10">
        <f>SUM(livre_paie!R2:R51)</f>
        <v>65000</v>
      </c>
      <c r="C16" s="10">
        <f>SUM(livre_paie!U2:U51)</f>
        <v>14076337.614880003</v>
      </c>
    </row>
    <row r="18" spans="1:5" x14ac:dyDescent="0.25">
      <c r="A18" s="13" t="s">
        <v>275</v>
      </c>
      <c r="B18" s="13"/>
      <c r="C18" s="13"/>
      <c r="D18" s="13"/>
      <c r="E18" s="13"/>
    </row>
    <row r="19" spans="1:5" x14ac:dyDescent="0.25">
      <c r="A19" s="13"/>
      <c r="B19" s="13"/>
      <c r="C19" s="13"/>
      <c r="D19" s="13"/>
      <c r="E19" s="13"/>
    </row>
    <row r="21" spans="1:5" x14ac:dyDescent="0.25">
      <c r="A21" s="10" t="s">
        <v>18</v>
      </c>
      <c r="B21" s="10" t="s">
        <v>216</v>
      </c>
    </row>
    <row r="22" spans="1:5" x14ac:dyDescent="0.25">
      <c r="A22" s="10">
        <f>SUM(livre_paie!R2:R51)</f>
        <v>65000</v>
      </c>
      <c r="B22" s="10">
        <f>C16+A22</f>
        <v>14141337.614880003</v>
      </c>
    </row>
  </sheetData>
  <mergeCells count="3">
    <mergeCell ref="A2:E3"/>
    <mergeCell ref="A9:E10"/>
    <mergeCell ref="A18:E19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C51"/>
  <sheetViews>
    <sheetView workbookViewId="0">
      <selection activeCell="L16" sqref="L16"/>
    </sheetView>
  </sheetViews>
  <sheetFormatPr baseColWidth="10" defaultRowHeight="15" x14ac:dyDescent="0.25"/>
  <sheetData>
    <row r="1" spans="1:3" x14ac:dyDescent="0.25">
      <c r="A1" t="s">
        <v>12</v>
      </c>
      <c r="B1" t="s">
        <v>3</v>
      </c>
      <c r="C1" t="s">
        <v>4</v>
      </c>
    </row>
    <row r="2" spans="1:3" x14ac:dyDescent="0.25">
      <c r="A2" t="s">
        <v>3</v>
      </c>
      <c r="B2">
        <f>COUNTIF(A2:A51,"Masculin")</f>
        <v>38</v>
      </c>
      <c r="C2">
        <f>COUNTIF(A2:A51,"Feminin")</f>
        <v>12</v>
      </c>
    </row>
    <row r="3" spans="1:3" x14ac:dyDescent="0.25">
      <c r="A3" t="s">
        <v>3</v>
      </c>
    </row>
    <row r="4" spans="1:3" x14ac:dyDescent="0.25">
      <c r="A4" t="s">
        <v>3</v>
      </c>
    </row>
    <row r="5" spans="1:3" x14ac:dyDescent="0.25">
      <c r="A5" t="s">
        <v>3</v>
      </c>
    </row>
    <row r="6" spans="1:3" x14ac:dyDescent="0.25">
      <c r="A6" t="s">
        <v>3</v>
      </c>
    </row>
    <row r="7" spans="1:3" x14ac:dyDescent="0.25">
      <c r="A7" t="s">
        <v>3</v>
      </c>
    </row>
    <row r="8" spans="1:3" x14ac:dyDescent="0.25">
      <c r="A8" t="s">
        <v>4</v>
      </c>
    </row>
    <row r="9" spans="1:3" x14ac:dyDescent="0.25">
      <c r="A9" t="s">
        <v>4</v>
      </c>
    </row>
    <row r="10" spans="1:3" x14ac:dyDescent="0.25">
      <c r="A10" t="s">
        <v>3</v>
      </c>
    </row>
    <row r="11" spans="1:3" x14ac:dyDescent="0.25">
      <c r="A11" t="s">
        <v>3</v>
      </c>
    </row>
    <row r="12" spans="1:3" x14ac:dyDescent="0.25">
      <c r="A12" t="s">
        <v>4</v>
      </c>
    </row>
    <row r="13" spans="1:3" x14ac:dyDescent="0.25">
      <c r="A13" t="s">
        <v>3</v>
      </c>
    </row>
    <row r="14" spans="1:3" x14ac:dyDescent="0.25">
      <c r="A14" t="s">
        <v>4</v>
      </c>
    </row>
    <row r="15" spans="1:3" x14ac:dyDescent="0.25">
      <c r="A15" t="s">
        <v>3</v>
      </c>
    </row>
    <row r="16" spans="1:3" x14ac:dyDescent="0.25">
      <c r="A16" t="s">
        <v>3</v>
      </c>
    </row>
    <row r="17" spans="1:1" x14ac:dyDescent="0.25">
      <c r="A17" t="s">
        <v>3</v>
      </c>
    </row>
    <row r="18" spans="1:1" x14ac:dyDescent="0.25">
      <c r="A18" t="s">
        <v>3</v>
      </c>
    </row>
    <row r="19" spans="1:1" x14ac:dyDescent="0.25">
      <c r="A19" t="s">
        <v>3</v>
      </c>
    </row>
    <row r="20" spans="1:1" x14ac:dyDescent="0.25">
      <c r="A20" t="s">
        <v>3</v>
      </c>
    </row>
    <row r="21" spans="1:1" x14ac:dyDescent="0.25">
      <c r="A21" t="s">
        <v>3</v>
      </c>
    </row>
    <row r="22" spans="1:1" x14ac:dyDescent="0.25">
      <c r="A22" t="s">
        <v>3</v>
      </c>
    </row>
    <row r="23" spans="1:1" x14ac:dyDescent="0.25">
      <c r="A23" t="s">
        <v>4</v>
      </c>
    </row>
    <row r="24" spans="1:1" x14ac:dyDescent="0.25">
      <c r="A24" t="s">
        <v>3</v>
      </c>
    </row>
    <row r="25" spans="1:1" x14ac:dyDescent="0.25">
      <c r="A25" t="s">
        <v>3</v>
      </c>
    </row>
    <row r="26" spans="1:1" x14ac:dyDescent="0.25">
      <c r="A26" t="s">
        <v>4</v>
      </c>
    </row>
    <row r="27" spans="1:1" x14ac:dyDescent="0.25">
      <c r="A27" t="s">
        <v>3</v>
      </c>
    </row>
    <row r="28" spans="1:1" x14ac:dyDescent="0.25">
      <c r="A28" t="s">
        <v>3</v>
      </c>
    </row>
    <row r="29" spans="1:1" x14ac:dyDescent="0.25">
      <c r="A29" t="s">
        <v>3</v>
      </c>
    </row>
    <row r="30" spans="1:1" x14ac:dyDescent="0.25">
      <c r="A30" t="s">
        <v>4</v>
      </c>
    </row>
    <row r="31" spans="1:1" x14ac:dyDescent="0.25">
      <c r="A31" t="s">
        <v>3</v>
      </c>
    </row>
    <row r="32" spans="1:1" x14ac:dyDescent="0.25">
      <c r="A32" t="s">
        <v>3</v>
      </c>
    </row>
    <row r="33" spans="1:1" x14ac:dyDescent="0.25">
      <c r="A33" t="s">
        <v>3</v>
      </c>
    </row>
    <row r="34" spans="1:1" x14ac:dyDescent="0.25">
      <c r="A34" t="s">
        <v>3</v>
      </c>
    </row>
    <row r="35" spans="1:1" x14ac:dyDescent="0.25">
      <c r="A35" t="s">
        <v>4</v>
      </c>
    </row>
    <row r="36" spans="1:1" x14ac:dyDescent="0.25">
      <c r="A36" t="s">
        <v>3</v>
      </c>
    </row>
    <row r="37" spans="1:1" x14ac:dyDescent="0.25">
      <c r="A37" t="s">
        <v>3</v>
      </c>
    </row>
    <row r="38" spans="1:1" x14ac:dyDescent="0.25">
      <c r="A38" t="s">
        <v>3</v>
      </c>
    </row>
    <row r="39" spans="1:1" x14ac:dyDescent="0.25">
      <c r="A39" t="s">
        <v>3</v>
      </c>
    </row>
    <row r="40" spans="1:1" x14ac:dyDescent="0.25">
      <c r="A40" t="s">
        <v>4</v>
      </c>
    </row>
    <row r="41" spans="1:1" x14ac:dyDescent="0.25">
      <c r="A41" t="s">
        <v>4</v>
      </c>
    </row>
    <row r="42" spans="1:1" x14ac:dyDescent="0.25">
      <c r="A42" t="s">
        <v>3</v>
      </c>
    </row>
    <row r="43" spans="1:1" x14ac:dyDescent="0.25">
      <c r="A43" t="s">
        <v>3</v>
      </c>
    </row>
    <row r="44" spans="1:1" x14ac:dyDescent="0.25">
      <c r="A44" t="s">
        <v>3</v>
      </c>
    </row>
    <row r="45" spans="1:1" x14ac:dyDescent="0.25">
      <c r="A45" t="s">
        <v>3</v>
      </c>
    </row>
    <row r="46" spans="1:1" x14ac:dyDescent="0.25">
      <c r="A46" t="s">
        <v>4</v>
      </c>
    </row>
    <row r="47" spans="1:1" x14ac:dyDescent="0.25">
      <c r="A47" t="s">
        <v>3</v>
      </c>
    </row>
    <row r="48" spans="1:1" x14ac:dyDescent="0.25">
      <c r="A48" t="s">
        <v>3</v>
      </c>
    </row>
    <row r="49" spans="1:1" x14ac:dyDescent="0.25">
      <c r="A49" t="s">
        <v>4</v>
      </c>
    </row>
    <row r="50" spans="1:1" x14ac:dyDescent="0.25">
      <c r="A50" t="s">
        <v>3</v>
      </c>
    </row>
    <row r="51" spans="1:1" x14ac:dyDescent="0.25">
      <c r="A51" t="s">
        <v>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Q51"/>
  <sheetViews>
    <sheetView workbookViewId="0">
      <selection activeCell="M15" sqref="M15"/>
    </sheetView>
  </sheetViews>
  <sheetFormatPr baseColWidth="10" defaultRowHeight="15" x14ac:dyDescent="0.25"/>
  <sheetData>
    <row r="1" spans="1:17" x14ac:dyDescent="0.25">
      <c r="A1" t="s">
        <v>204</v>
      </c>
      <c r="D1" s="5"/>
    </row>
    <row r="2" spans="1:17" x14ac:dyDescent="0.25">
      <c r="A2">
        <v>37</v>
      </c>
      <c r="C2">
        <v>35</v>
      </c>
      <c r="D2">
        <v>36</v>
      </c>
      <c r="E2">
        <v>37</v>
      </c>
      <c r="F2">
        <v>38</v>
      </c>
      <c r="G2">
        <v>39</v>
      </c>
      <c r="H2">
        <v>40</v>
      </c>
      <c r="I2">
        <v>41</v>
      </c>
      <c r="J2">
        <v>42</v>
      </c>
      <c r="K2">
        <v>43</v>
      </c>
      <c r="L2">
        <v>44</v>
      </c>
      <c r="M2">
        <v>45</v>
      </c>
      <c r="N2">
        <v>46</v>
      </c>
      <c r="O2">
        <v>47</v>
      </c>
      <c r="P2">
        <v>48</v>
      </c>
      <c r="Q2">
        <v>49</v>
      </c>
    </row>
    <row r="3" spans="1:17" x14ac:dyDescent="0.25">
      <c r="A3">
        <v>45</v>
      </c>
      <c r="C3">
        <f>COUNTIF(A2:A51, "35" )</f>
        <v>7</v>
      </c>
      <c r="D3">
        <f>COUNTIF(A2:A51, "36" )</f>
        <v>4</v>
      </c>
      <c r="E3">
        <f>COUNTIF(A2:A51, "37" )</f>
        <v>2</v>
      </c>
      <c r="F3">
        <f>COUNTIF(A2:A51, "38" )</f>
        <v>6</v>
      </c>
      <c r="G3">
        <f>COUNTIF(A2:A51, "39" )</f>
        <v>3</v>
      </c>
      <c r="H3">
        <f>COUNTIF(A2:A51, "40" )</f>
        <v>2</v>
      </c>
      <c r="I3">
        <f>COUNTIF(A2:A51, "41" )</f>
        <v>5</v>
      </c>
      <c r="J3">
        <f>COUNTIF(A2:A51, "42" )</f>
        <v>4</v>
      </c>
      <c r="K3">
        <f>COUNTIF(A2:A51, "43" )</f>
        <v>8</v>
      </c>
      <c r="L3">
        <f>COUNTIF(A2:A51, "44" )</f>
        <v>5</v>
      </c>
      <c r="M3">
        <f>COUNTIF(A2:A51, "45" )</f>
        <v>4</v>
      </c>
      <c r="N3">
        <f>COUNTIF(A2:A51, "46" )</f>
        <v>0</v>
      </c>
      <c r="O3">
        <f>COUNTIF(A2:A51, "47" )</f>
        <v>0</v>
      </c>
      <c r="P3">
        <f>COUNTIF(A2:A51, "48" )</f>
        <v>0</v>
      </c>
      <c r="Q3">
        <f>COUNTIF(A2:A51, "49" )</f>
        <v>0</v>
      </c>
    </row>
    <row r="4" spans="1:17" x14ac:dyDescent="0.25">
      <c r="A4">
        <v>38</v>
      </c>
    </row>
    <row r="5" spans="1:17" x14ac:dyDescent="0.25">
      <c r="A5">
        <v>40</v>
      </c>
    </row>
    <row r="6" spans="1:17" x14ac:dyDescent="0.25">
      <c r="A6">
        <v>37</v>
      </c>
      <c r="C6" t="s">
        <v>262</v>
      </c>
      <c r="D6" t="s">
        <v>263</v>
      </c>
      <c r="E6" t="s">
        <v>264</v>
      </c>
    </row>
    <row r="7" spans="1:17" x14ac:dyDescent="0.25">
      <c r="A7">
        <v>41</v>
      </c>
      <c r="C7">
        <v>7</v>
      </c>
      <c r="D7">
        <f>SUM(D3:H3)</f>
        <v>17</v>
      </c>
      <c r="E7">
        <f>SUM(I3:M3)</f>
        <v>26</v>
      </c>
    </row>
    <row r="8" spans="1:17" x14ac:dyDescent="0.25">
      <c r="A8">
        <v>38</v>
      </c>
    </row>
    <row r="9" spans="1:17" x14ac:dyDescent="0.25">
      <c r="A9">
        <v>45</v>
      </c>
    </row>
    <row r="10" spans="1:17" x14ac:dyDescent="0.25">
      <c r="A10">
        <v>40</v>
      </c>
    </row>
    <row r="11" spans="1:17" x14ac:dyDescent="0.25">
      <c r="A11">
        <v>44</v>
      </c>
    </row>
    <row r="12" spans="1:17" x14ac:dyDescent="0.25">
      <c r="A12">
        <v>43</v>
      </c>
    </row>
    <row r="13" spans="1:17" x14ac:dyDescent="0.25">
      <c r="A13">
        <v>41</v>
      </c>
    </row>
    <row r="14" spans="1:17" x14ac:dyDescent="0.25">
      <c r="A14">
        <v>38</v>
      </c>
    </row>
    <row r="15" spans="1:17" x14ac:dyDescent="0.25">
      <c r="A15">
        <v>35</v>
      </c>
    </row>
    <row r="16" spans="1:17" x14ac:dyDescent="0.25">
      <c r="A16">
        <v>36</v>
      </c>
    </row>
    <row r="17" spans="1:1" x14ac:dyDescent="0.25">
      <c r="A17">
        <v>42</v>
      </c>
    </row>
    <row r="18" spans="1:1" x14ac:dyDescent="0.25">
      <c r="A18">
        <v>43</v>
      </c>
    </row>
    <row r="19" spans="1:1" x14ac:dyDescent="0.25">
      <c r="A19">
        <v>38</v>
      </c>
    </row>
    <row r="20" spans="1:1" x14ac:dyDescent="0.25">
      <c r="A20">
        <v>36</v>
      </c>
    </row>
    <row r="21" spans="1:1" x14ac:dyDescent="0.25">
      <c r="A21">
        <v>43</v>
      </c>
    </row>
    <row r="22" spans="1:1" x14ac:dyDescent="0.25">
      <c r="A22">
        <v>41</v>
      </c>
    </row>
    <row r="23" spans="1:1" x14ac:dyDescent="0.25">
      <c r="A23">
        <v>38</v>
      </c>
    </row>
    <row r="24" spans="1:1" x14ac:dyDescent="0.25">
      <c r="A24">
        <v>45</v>
      </c>
    </row>
    <row r="25" spans="1:1" x14ac:dyDescent="0.25">
      <c r="A25">
        <v>41</v>
      </c>
    </row>
    <row r="26" spans="1:1" x14ac:dyDescent="0.25">
      <c r="A26">
        <v>42</v>
      </c>
    </row>
    <row r="27" spans="1:1" x14ac:dyDescent="0.25">
      <c r="A27">
        <v>35</v>
      </c>
    </row>
    <row r="28" spans="1:1" x14ac:dyDescent="0.25">
      <c r="A28">
        <v>35</v>
      </c>
    </row>
    <row r="29" spans="1:1" x14ac:dyDescent="0.25">
      <c r="A29">
        <v>39</v>
      </c>
    </row>
    <row r="30" spans="1:1" x14ac:dyDescent="0.25">
      <c r="A30">
        <v>35</v>
      </c>
    </row>
    <row r="31" spans="1:1" x14ac:dyDescent="0.25">
      <c r="A31">
        <v>42</v>
      </c>
    </row>
    <row r="32" spans="1:1" x14ac:dyDescent="0.25">
      <c r="A32">
        <v>43</v>
      </c>
    </row>
    <row r="33" spans="1:1" x14ac:dyDescent="0.25">
      <c r="A33">
        <v>35</v>
      </c>
    </row>
    <row r="34" spans="1:1" x14ac:dyDescent="0.25">
      <c r="A34">
        <v>43</v>
      </c>
    </row>
    <row r="35" spans="1:1" x14ac:dyDescent="0.25">
      <c r="A35">
        <v>45</v>
      </c>
    </row>
    <row r="36" spans="1:1" x14ac:dyDescent="0.25">
      <c r="A36">
        <v>38</v>
      </c>
    </row>
    <row r="37" spans="1:1" x14ac:dyDescent="0.25">
      <c r="A37">
        <v>43</v>
      </c>
    </row>
    <row r="38" spans="1:1" x14ac:dyDescent="0.25">
      <c r="A38">
        <v>42</v>
      </c>
    </row>
    <row r="39" spans="1:1" x14ac:dyDescent="0.25">
      <c r="A39">
        <v>44</v>
      </c>
    </row>
    <row r="40" spans="1:1" x14ac:dyDescent="0.25">
      <c r="A40">
        <v>44</v>
      </c>
    </row>
    <row r="41" spans="1:1" x14ac:dyDescent="0.25">
      <c r="A41">
        <v>39</v>
      </c>
    </row>
    <row r="42" spans="1:1" x14ac:dyDescent="0.25">
      <c r="A42">
        <v>43</v>
      </c>
    </row>
    <row r="43" spans="1:1" x14ac:dyDescent="0.25">
      <c r="A43">
        <v>43</v>
      </c>
    </row>
    <row r="44" spans="1:1" x14ac:dyDescent="0.25">
      <c r="A44">
        <v>41</v>
      </c>
    </row>
    <row r="45" spans="1:1" x14ac:dyDescent="0.25">
      <c r="A45">
        <v>44</v>
      </c>
    </row>
    <row r="46" spans="1:1" x14ac:dyDescent="0.25">
      <c r="A46">
        <v>36</v>
      </c>
    </row>
    <row r="47" spans="1:1" x14ac:dyDescent="0.25">
      <c r="A47">
        <v>36</v>
      </c>
    </row>
    <row r="48" spans="1:1" x14ac:dyDescent="0.25">
      <c r="A48">
        <v>44</v>
      </c>
    </row>
    <row r="49" spans="1:1" x14ac:dyDescent="0.25">
      <c r="A49">
        <v>35</v>
      </c>
    </row>
    <row r="50" spans="1:1" x14ac:dyDescent="0.25">
      <c r="A50">
        <v>35</v>
      </c>
    </row>
    <row r="51" spans="1:1" x14ac:dyDescent="0.25">
      <c r="A51">
        <v>39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E51"/>
  <sheetViews>
    <sheetView workbookViewId="0">
      <selection activeCell="L14" sqref="L14"/>
    </sheetView>
  </sheetViews>
  <sheetFormatPr baseColWidth="10" defaultRowHeight="15" x14ac:dyDescent="0.25"/>
  <sheetData>
    <row r="1" spans="1:5" x14ac:dyDescent="0.25">
      <c r="A1" t="s">
        <v>13</v>
      </c>
      <c r="C1" t="s">
        <v>0</v>
      </c>
      <c r="D1" t="s">
        <v>6</v>
      </c>
      <c r="E1" t="s">
        <v>1</v>
      </c>
    </row>
    <row r="2" spans="1:5" x14ac:dyDescent="0.25">
      <c r="A2" t="s">
        <v>6</v>
      </c>
      <c r="C2">
        <f>COUNTIF(A2:A51,"A")</f>
        <v>11</v>
      </c>
      <c r="D2">
        <f>COUNTIF(A2:A51,"B")</f>
        <v>23</v>
      </c>
      <c r="E2">
        <f>COUNTIF(A2:A51,"C")</f>
        <v>16</v>
      </c>
    </row>
    <row r="3" spans="1:5" x14ac:dyDescent="0.25">
      <c r="A3" t="s">
        <v>6</v>
      </c>
    </row>
    <row r="4" spans="1:5" x14ac:dyDescent="0.25">
      <c r="A4" t="s">
        <v>6</v>
      </c>
    </row>
    <row r="5" spans="1:5" x14ac:dyDescent="0.25">
      <c r="A5" t="s">
        <v>1</v>
      </c>
    </row>
    <row r="6" spans="1:5" x14ac:dyDescent="0.25">
      <c r="A6" t="s">
        <v>1</v>
      </c>
    </row>
    <row r="7" spans="1:5" x14ac:dyDescent="0.25">
      <c r="A7" t="s">
        <v>1</v>
      </c>
    </row>
    <row r="8" spans="1:5" x14ac:dyDescent="0.25">
      <c r="A8" t="s">
        <v>0</v>
      </c>
    </row>
    <row r="9" spans="1:5" x14ac:dyDescent="0.25">
      <c r="A9" t="s">
        <v>0</v>
      </c>
    </row>
    <row r="10" spans="1:5" x14ac:dyDescent="0.25">
      <c r="A10" t="s">
        <v>0</v>
      </c>
    </row>
    <row r="11" spans="1:5" x14ac:dyDescent="0.25">
      <c r="A11" t="s">
        <v>0</v>
      </c>
    </row>
    <row r="12" spans="1:5" x14ac:dyDescent="0.25">
      <c r="A12" t="s">
        <v>6</v>
      </c>
    </row>
    <row r="13" spans="1:5" x14ac:dyDescent="0.25">
      <c r="A13" t="s">
        <v>6</v>
      </c>
    </row>
    <row r="14" spans="1:5" x14ac:dyDescent="0.25">
      <c r="A14" t="s">
        <v>6</v>
      </c>
    </row>
    <row r="15" spans="1:5" x14ac:dyDescent="0.25">
      <c r="A15" t="s">
        <v>6</v>
      </c>
    </row>
    <row r="16" spans="1:5" x14ac:dyDescent="0.25">
      <c r="A16" t="s">
        <v>1</v>
      </c>
    </row>
    <row r="17" spans="1:1" x14ac:dyDescent="0.25">
      <c r="A17" t="s">
        <v>1</v>
      </c>
    </row>
    <row r="18" spans="1:1" x14ac:dyDescent="0.25">
      <c r="A18" t="s">
        <v>1</v>
      </c>
    </row>
    <row r="19" spans="1:1" x14ac:dyDescent="0.25">
      <c r="A19" t="s">
        <v>0</v>
      </c>
    </row>
    <row r="20" spans="1:1" x14ac:dyDescent="0.25">
      <c r="A20" t="s">
        <v>1</v>
      </c>
    </row>
    <row r="21" spans="1:1" x14ac:dyDescent="0.25">
      <c r="A21" t="s">
        <v>6</v>
      </c>
    </row>
    <row r="22" spans="1:1" x14ac:dyDescent="0.25">
      <c r="A22" t="s">
        <v>6</v>
      </c>
    </row>
    <row r="23" spans="1:1" x14ac:dyDescent="0.25">
      <c r="A23" t="s">
        <v>6</v>
      </c>
    </row>
    <row r="24" spans="1:1" x14ac:dyDescent="0.25">
      <c r="A24" t="s">
        <v>1</v>
      </c>
    </row>
    <row r="25" spans="1:1" x14ac:dyDescent="0.25">
      <c r="A25" t="s">
        <v>1</v>
      </c>
    </row>
    <row r="26" spans="1:1" x14ac:dyDescent="0.25">
      <c r="A26" t="s">
        <v>1</v>
      </c>
    </row>
    <row r="27" spans="1:1" x14ac:dyDescent="0.25">
      <c r="A27" t="s">
        <v>1</v>
      </c>
    </row>
    <row r="28" spans="1:1" x14ac:dyDescent="0.25">
      <c r="A28" t="s">
        <v>0</v>
      </c>
    </row>
    <row r="29" spans="1:1" x14ac:dyDescent="0.25">
      <c r="A29" t="s">
        <v>6</v>
      </c>
    </row>
    <row r="30" spans="1:1" x14ac:dyDescent="0.25">
      <c r="A30" t="s">
        <v>0</v>
      </c>
    </row>
    <row r="31" spans="1:1" x14ac:dyDescent="0.25">
      <c r="A31" t="s">
        <v>0</v>
      </c>
    </row>
    <row r="32" spans="1:1" x14ac:dyDescent="0.25">
      <c r="A32" t="s">
        <v>0</v>
      </c>
    </row>
    <row r="33" spans="1:1" x14ac:dyDescent="0.25">
      <c r="A33" t="s">
        <v>6</v>
      </c>
    </row>
    <row r="34" spans="1:1" x14ac:dyDescent="0.25">
      <c r="A34" t="s">
        <v>6</v>
      </c>
    </row>
    <row r="35" spans="1:1" x14ac:dyDescent="0.25">
      <c r="A35" t="s">
        <v>6</v>
      </c>
    </row>
    <row r="36" spans="1:1" x14ac:dyDescent="0.25">
      <c r="A36" t="s">
        <v>6</v>
      </c>
    </row>
    <row r="37" spans="1:1" x14ac:dyDescent="0.25">
      <c r="A37" t="s">
        <v>6</v>
      </c>
    </row>
    <row r="38" spans="1:1" x14ac:dyDescent="0.25">
      <c r="A38" t="s">
        <v>1</v>
      </c>
    </row>
    <row r="39" spans="1:1" x14ac:dyDescent="0.25">
      <c r="A39" t="s">
        <v>0</v>
      </c>
    </row>
    <row r="40" spans="1:1" x14ac:dyDescent="0.25">
      <c r="A40" t="s">
        <v>1</v>
      </c>
    </row>
    <row r="41" spans="1:1" x14ac:dyDescent="0.25">
      <c r="A41" t="s">
        <v>1</v>
      </c>
    </row>
    <row r="42" spans="1:1" x14ac:dyDescent="0.25">
      <c r="A42" t="s">
        <v>0</v>
      </c>
    </row>
    <row r="43" spans="1:1" x14ac:dyDescent="0.25">
      <c r="A43" t="s">
        <v>1</v>
      </c>
    </row>
    <row r="44" spans="1:1" x14ac:dyDescent="0.25">
      <c r="A44" t="s">
        <v>1</v>
      </c>
    </row>
    <row r="45" spans="1:1" x14ac:dyDescent="0.25">
      <c r="A45" t="s">
        <v>6</v>
      </c>
    </row>
    <row r="46" spans="1:1" x14ac:dyDescent="0.25">
      <c r="A46" t="s">
        <v>6</v>
      </c>
    </row>
    <row r="47" spans="1:1" x14ac:dyDescent="0.25">
      <c r="A47" t="s">
        <v>6</v>
      </c>
    </row>
    <row r="48" spans="1:1" x14ac:dyDescent="0.25">
      <c r="A48" t="s">
        <v>6</v>
      </c>
    </row>
    <row r="49" spans="1:1" x14ac:dyDescent="0.25">
      <c r="A49" t="s">
        <v>6</v>
      </c>
    </row>
    <row r="50" spans="1:1" x14ac:dyDescent="0.25">
      <c r="A50" t="s">
        <v>6</v>
      </c>
    </row>
    <row r="51" spans="1:1" x14ac:dyDescent="0.25">
      <c r="A51" t="s">
        <v>6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D51"/>
  <sheetViews>
    <sheetView workbookViewId="0">
      <selection activeCell="L20" sqref="L20"/>
    </sheetView>
  </sheetViews>
  <sheetFormatPr baseColWidth="10" defaultRowHeight="15" x14ac:dyDescent="0.25"/>
  <sheetData>
    <row r="1" spans="1:4" x14ac:dyDescent="0.25">
      <c r="A1" t="s">
        <v>205</v>
      </c>
      <c r="C1" t="s">
        <v>221</v>
      </c>
      <c r="D1" t="s">
        <v>214</v>
      </c>
    </row>
    <row r="2" spans="1:4" x14ac:dyDescent="0.25">
      <c r="A2" t="s">
        <v>221</v>
      </c>
      <c r="C2">
        <f>COUNTIF(A2:A51,"General")</f>
        <v>25</v>
      </c>
      <c r="D2">
        <f>COUNTIF(A2:A51,"Cadre")</f>
        <v>25</v>
      </c>
    </row>
    <row r="3" spans="1:4" x14ac:dyDescent="0.25">
      <c r="A3" t="s">
        <v>214</v>
      </c>
    </row>
    <row r="4" spans="1:4" x14ac:dyDescent="0.25">
      <c r="A4" t="s">
        <v>214</v>
      </c>
    </row>
    <row r="5" spans="1:4" x14ac:dyDescent="0.25">
      <c r="A5" t="s">
        <v>221</v>
      </c>
    </row>
    <row r="6" spans="1:4" x14ac:dyDescent="0.25">
      <c r="A6" t="s">
        <v>221</v>
      </c>
    </row>
    <row r="7" spans="1:4" x14ac:dyDescent="0.25">
      <c r="A7" t="s">
        <v>221</v>
      </c>
    </row>
    <row r="8" spans="1:4" x14ac:dyDescent="0.25">
      <c r="A8" t="s">
        <v>214</v>
      </c>
    </row>
    <row r="9" spans="1:4" x14ac:dyDescent="0.25">
      <c r="A9" t="s">
        <v>214</v>
      </c>
    </row>
    <row r="10" spans="1:4" x14ac:dyDescent="0.25">
      <c r="A10" t="s">
        <v>214</v>
      </c>
    </row>
    <row r="11" spans="1:4" x14ac:dyDescent="0.25">
      <c r="A11" t="s">
        <v>214</v>
      </c>
    </row>
    <row r="12" spans="1:4" x14ac:dyDescent="0.25">
      <c r="A12" t="s">
        <v>214</v>
      </c>
    </row>
    <row r="13" spans="1:4" x14ac:dyDescent="0.25">
      <c r="A13" t="s">
        <v>221</v>
      </c>
    </row>
    <row r="14" spans="1:4" x14ac:dyDescent="0.25">
      <c r="A14" t="s">
        <v>214</v>
      </c>
    </row>
    <row r="15" spans="1:4" x14ac:dyDescent="0.25">
      <c r="A15" t="s">
        <v>221</v>
      </c>
    </row>
    <row r="16" spans="1:4" x14ac:dyDescent="0.25">
      <c r="A16" t="s">
        <v>221</v>
      </c>
    </row>
    <row r="17" spans="1:1" x14ac:dyDescent="0.25">
      <c r="A17" t="s">
        <v>221</v>
      </c>
    </row>
    <row r="18" spans="1:1" x14ac:dyDescent="0.25">
      <c r="A18" t="s">
        <v>221</v>
      </c>
    </row>
    <row r="19" spans="1:1" x14ac:dyDescent="0.25">
      <c r="A19" t="s">
        <v>214</v>
      </c>
    </row>
    <row r="20" spans="1:1" x14ac:dyDescent="0.25">
      <c r="A20" t="s">
        <v>221</v>
      </c>
    </row>
    <row r="21" spans="1:1" x14ac:dyDescent="0.25">
      <c r="A21" t="s">
        <v>214</v>
      </c>
    </row>
    <row r="22" spans="1:1" x14ac:dyDescent="0.25">
      <c r="A22" t="s">
        <v>214</v>
      </c>
    </row>
    <row r="23" spans="1:1" x14ac:dyDescent="0.25">
      <c r="A23" t="s">
        <v>214</v>
      </c>
    </row>
    <row r="24" spans="1:1" x14ac:dyDescent="0.25">
      <c r="A24" t="s">
        <v>221</v>
      </c>
    </row>
    <row r="25" spans="1:1" x14ac:dyDescent="0.25">
      <c r="A25" t="s">
        <v>221</v>
      </c>
    </row>
    <row r="26" spans="1:1" x14ac:dyDescent="0.25">
      <c r="A26" t="s">
        <v>221</v>
      </c>
    </row>
    <row r="27" spans="1:1" x14ac:dyDescent="0.25">
      <c r="A27" t="s">
        <v>221</v>
      </c>
    </row>
    <row r="28" spans="1:1" x14ac:dyDescent="0.25">
      <c r="A28" t="s">
        <v>214</v>
      </c>
    </row>
    <row r="29" spans="1:1" x14ac:dyDescent="0.25">
      <c r="A29" t="s">
        <v>214</v>
      </c>
    </row>
    <row r="30" spans="1:1" x14ac:dyDescent="0.25">
      <c r="A30" t="s">
        <v>214</v>
      </c>
    </row>
    <row r="31" spans="1:1" x14ac:dyDescent="0.25">
      <c r="A31" t="s">
        <v>214</v>
      </c>
    </row>
    <row r="32" spans="1:1" x14ac:dyDescent="0.25">
      <c r="A32" t="s">
        <v>214</v>
      </c>
    </row>
    <row r="33" spans="1:1" x14ac:dyDescent="0.25">
      <c r="A33" t="s">
        <v>221</v>
      </c>
    </row>
    <row r="34" spans="1:1" x14ac:dyDescent="0.25">
      <c r="A34" t="s">
        <v>214</v>
      </c>
    </row>
    <row r="35" spans="1:1" x14ac:dyDescent="0.25">
      <c r="A35" t="s">
        <v>221</v>
      </c>
    </row>
    <row r="36" spans="1:1" x14ac:dyDescent="0.25">
      <c r="A36" t="s">
        <v>221</v>
      </c>
    </row>
    <row r="37" spans="1:1" x14ac:dyDescent="0.25">
      <c r="A37" t="s">
        <v>221</v>
      </c>
    </row>
    <row r="38" spans="1:1" x14ac:dyDescent="0.25">
      <c r="A38" t="s">
        <v>221</v>
      </c>
    </row>
    <row r="39" spans="1:1" x14ac:dyDescent="0.25">
      <c r="A39" t="s">
        <v>214</v>
      </c>
    </row>
    <row r="40" spans="1:1" x14ac:dyDescent="0.25">
      <c r="A40" t="s">
        <v>221</v>
      </c>
    </row>
    <row r="41" spans="1:1" x14ac:dyDescent="0.25">
      <c r="A41" t="s">
        <v>221</v>
      </c>
    </row>
    <row r="42" spans="1:1" x14ac:dyDescent="0.25">
      <c r="A42" t="s">
        <v>214</v>
      </c>
    </row>
    <row r="43" spans="1:1" x14ac:dyDescent="0.25">
      <c r="A43" t="s">
        <v>221</v>
      </c>
    </row>
    <row r="44" spans="1:1" x14ac:dyDescent="0.25">
      <c r="A44" t="s">
        <v>221</v>
      </c>
    </row>
    <row r="45" spans="1:1" x14ac:dyDescent="0.25">
      <c r="A45" t="s">
        <v>214</v>
      </c>
    </row>
    <row r="46" spans="1:1" x14ac:dyDescent="0.25">
      <c r="A46" t="s">
        <v>214</v>
      </c>
    </row>
    <row r="47" spans="1:1" x14ac:dyDescent="0.25">
      <c r="A47" t="s">
        <v>214</v>
      </c>
    </row>
    <row r="48" spans="1:1" x14ac:dyDescent="0.25">
      <c r="A48" t="s">
        <v>221</v>
      </c>
    </row>
    <row r="49" spans="1:1" x14ac:dyDescent="0.25">
      <c r="A49" t="s">
        <v>214</v>
      </c>
    </row>
    <row r="50" spans="1:1" x14ac:dyDescent="0.25">
      <c r="A50" t="s">
        <v>221</v>
      </c>
    </row>
    <row r="51" spans="1:1" x14ac:dyDescent="0.25">
      <c r="A51" t="s">
        <v>214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D51"/>
  <sheetViews>
    <sheetView workbookViewId="0">
      <selection activeCell="K17" sqref="K17"/>
    </sheetView>
  </sheetViews>
  <sheetFormatPr baseColWidth="10" defaultRowHeight="15" x14ac:dyDescent="0.25"/>
  <sheetData>
    <row r="1" spans="1:4" x14ac:dyDescent="0.25">
      <c r="A1" t="s">
        <v>14</v>
      </c>
      <c r="C1" t="s">
        <v>2</v>
      </c>
      <c r="D1" t="s">
        <v>5</v>
      </c>
    </row>
    <row r="2" spans="1:4" x14ac:dyDescent="0.25">
      <c r="A2" t="s">
        <v>2</v>
      </c>
      <c r="C2">
        <f>COUNTIF(A2:A51,"Marié")</f>
        <v>30</v>
      </c>
      <c r="D2">
        <f>COUNTIF(A2:A51,"Celibataire")</f>
        <v>20</v>
      </c>
    </row>
    <row r="3" spans="1:4" x14ac:dyDescent="0.25">
      <c r="A3" t="s">
        <v>5</v>
      </c>
    </row>
    <row r="4" spans="1:4" x14ac:dyDescent="0.25">
      <c r="A4" t="s">
        <v>2</v>
      </c>
    </row>
    <row r="5" spans="1:4" x14ac:dyDescent="0.25">
      <c r="A5" t="s">
        <v>2</v>
      </c>
    </row>
    <row r="6" spans="1:4" x14ac:dyDescent="0.25">
      <c r="A6" t="s">
        <v>5</v>
      </c>
    </row>
    <row r="7" spans="1:4" x14ac:dyDescent="0.25">
      <c r="A7" t="s">
        <v>5</v>
      </c>
    </row>
    <row r="8" spans="1:4" x14ac:dyDescent="0.25">
      <c r="A8" t="s">
        <v>2</v>
      </c>
    </row>
    <row r="9" spans="1:4" x14ac:dyDescent="0.25">
      <c r="A9" t="s">
        <v>5</v>
      </c>
    </row>
    <row r="10" spans="1:4" x14ac:dyDescent="0.25">
      <c r="A10" t="s">
        <v>2</v>
      </c>
    </row>
    <row r="11" spans="1:4" x14ac:dyDescent="0.25">
      <c r="A11" t="s">
        <v>5</v>
      </c>
    </row>
    <row r="12" spans="1:4" x14ac:dyDescent="0.25">
      <c r="A12" t="s">
        <v>5</v>
      </c>
    </row>
    <row r="13" spans="1:4" x14ac:dyDescent="0.25">
      <c r="A13" t="s">
        <v>5</v>
      </c>
    </row>
    <row r="14" spans="1:4" x14ac:dyDescent="0.25">
      <c r="A14" t="s">
        <v>5</v>
      </c>
    </row>
    <row r="15" spans="1:4" x14ac:dyDescent="0.25">
      <c r="A15" t="s">
        <v>5</v>
      </c>
    </row>
    <row r="16" spans="1:4" x14ac:dyDescent="0.25">
      <c r="A16" t="s">
        <v>5</v>
      </c>
    </row>
    <row r="17" spans="1:1" x14ac:dyDescent="0.25">
      <c r="A17" t="s">
        <v>2</v>
      </c>
    </row>
    <row r="18" spans="1:1" x14ac:dyDescent="0.25">
      <c r="A18" t="s">
        <v>2</v>
      </c>
    </row>
    <row r="19" spans="1:1" x14ac:dyDescent="0.25">
      <c r="A19" t="s">
        <v>2</v>
      </c>
    </row>
    <row r="20" spans="1:1" x14ac:dyDescent="0.25">
      <c r="A20" t="s">
        <v>2</v>
      </c>
    </row>
    <row r="21" spans="1:1" x14ac:dyDescent="0.25">
      <c r="A21" t="s">
        <v>2</v>
      </c>
    </row>
    <row r="22" spans="1:1" x14ac:dyDescent="0.25">
      <c r="A22" t="s">
        <v>2</v>
      </c>
    </row>
    <row r="23" spans="1:1" x14ac:dyDescent="0.25">
      <c r="A23" t="s">
        <v>2</v>
      </c>
    </row>
    <row r="24" spans="1:1" x14ac:dyDescent="0.25">
      <c r="A24" t="s">
        <v>2</v>
      </c>
    </row>
    <row r="25" spans="1:1" x14ac:dyDescent="0.25">
      <c r="A25" t="s">
        <v>2</v>
      </c>
    </row>
    <row r="26" spans="1:1" x14ac:dyDescent="0.25">
      <c r="A26" t="s">
        <v>5</v>
      </c>
    </row>
    <row r="27" spans="1:1" x14ac:dyDescent="0.25">
      <c r="A27" t="s">
        <v>5</v>
      </c>
    </row>
    <row r="28" spans="1:1" x14ac:dyDescent="0.25">
      <c r="A28" t="s">
        <v>5</v>
      </c>
    </row>
    <row r="29" spans="1:1" x14ac:dyDescent="0.25">
      <c r="A29" t="s">
        <v>5</v>
      </c>
    </row>
    <row r="30" spans="1:1" x14ac:dyDescent="0.25">
      <c r="A30" t="s">
        <v>2</v>
      </c>
    </row>
    <row r="31" spans="1:1" x14ac:dyDescent="0.25">
      <c r="A31" t="s">
        <v>2</v>
      </c>
    </row>
    <row r="32" spans="1:1" x14ac:dyDescent="0.25">
      <c r="A32" t="s">
        <v>2</v>
      </c>
    </row>
    <row r="33" spans="1:1" x14ac:dyDescent="0.25">
      <c r="A33" t="s">
        <v>2</v>
      </c>
    </row>
    <row r="34" spans="1:1" x14ac:dyDescent="0.25">
      <c r="A34" t="s">
        <v>2</v>
      </c>
    </row>
    <row r="35" spans="1:1" x14ac:dyDescent="0.25">
      <c r="A35" t="s">
        <v>2</v>
      </c>
    </row>
    <row r="36" spans="1:1" x14ac:dyDescent="0.25">
      <c r="A36" t="s">
        <v>2</v>
      </c>
    </row>
    <row r="37" spans="1:1" x14ac:dyDescent="0.25">
      <c r="A37" t="s">
        <v>2</v>
      </c>
    </row>
    <row r="38" spans="1:1" x14ac:dyDescent="0.25">
      <c r="A38" t="s">
        <v>5</v>
      </c>
    </row>
    <row r="39" spans="1:1" x14ac:dyDescent="0.25">
      <c r="A39" t="s">
        <v>5</v>
      </c>
    </row>
    <row r="40" spans="1:1" x14ac:dyDescent="0.25">
      <c r="A40" t="s">
        <v>5</v>
      </c>
    </row>
    <row r="41" spans="1:1" x14ac:dyDescent="0.25">
      <c r="A41" t="s">
        <v>5</v>
      </c>
    </row>
    <row r="42" spans="1:1" x14ac:dyDescent="0.25">
      <c r="A42" t="s">
        <v>5</v>
      </c>
    </row>
    <row r="43" spans="1:1" x14ac:dyDescent="0.25">
      <c r="A43" t="s">
        <v>2</v>
      </c>
    </row>
    <row r="44" spans="1:1" x14ac:dyDescent="0.25">
      <c r="A44" t="s">
        <v>2</v>
      </c>
    </row>
    <row r="45" spans="1:1" x14ac:dyDescent="0.25">
      <c r="A45" t="s">
        <v>2</v>
      </c>
    </row>
    <row r="46" spans="1:1" x14ac:dyDescent="0.25">
      <c r="A46" t="s">
        <v>2</v>
      </c>
    </row>
    <row r="47" spans="1:1" x14ac:dyDescent="0.25">
      <c r="A47" t="s">
        <v>2</v>
      </c>
    </row>
    <row r="48" spans="1:1" x14ac:dyDescent="0.25">
      <c r="A48" t="s">
        <v>2</v>
      </c>
    </row>
    <row r="49" spans="1:1" x14ac:dyDescent="0.25">
      <c r="A49" t="s">
        <v>2</v>
      </c>
    </row>
    <row r="50" spans="1:1" x14ac:dyDescent="0.25">
      <c r="A50" t="s">
        <v>2</v>
      </c>
    </row>
    <row r="51" spans="1:1" x14ac:dyDescent="0.25">
      <c r="A51" t="s">
        <v>5</v>
      </c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V55"/>
  <sheetViews>
    <sheetView workbookViewId="0">
      <selection activeCell="B15" sqref="B15"/>
    </sheetView>
  </sheetViews>
  <sheetFormatPr baseColWidth="10" defaultRowHeight="15" x14ac:dyDescent="0.25"/>
  <cols>
    <col min="1" max="2" width="27.28515625" customWidth="1"/>
    <col min="3" max="3" width="18.85546875" customWidth="1"/>
    <col min="5" max="5" width="16.5703125" customWidth="1"/>
    <col min="6" max="6" width="16.28515625" customWidth="1"/>
    <col min="9" max="9" width="18.42578125" customWidth="1"/>
    <col min="10" max="10" width="17.42578125" customWidth="1"/>
    <col min="18" max="18" width="19.140625" customWidth="1"/>
    <col min="19" max="19" width="14" customWidth="1"/>
    <col min="20" max="20" width="13" customWidth="1"/>
    <col min="21" max="21" width="13.7109375" customWidth="1"/>
    <col min="22" max="22" width="13.85546875" customWidth="1"/>
  </cols>
  <sheetData>
    <row r="1" spans="1:22" x14ac:dyDescent="0.25">
      <c r="A1" t="s">
        <v>8</v>
      </c>
      <c r="B1" t="s">
        <v>13</v>
      </c>
      <c r="C1" t="s">
        <v>9</v>
      </c>
      <c r="D1" t="s">
        <v>10</v>
      </c>
      <c r="E1" t="s">
        <v>222</v>
      </c>
      <c r="F1" t="s">
        <v>11</v>
      </c>
      <c r="G1" t="s">
        <v>204</v>
      </c>
      <c r="H1" t="s">
        <v>14</v>
      </c>
      <c r="I1" t="s">
        <v>20</v>
      </c>
      <c r="J1" t="s">
        <v>205</v>
      </c>
      <c r="K1" t="s">
        <v>206</v>
      </c>
      <c r="L1" t="s">
        <v>215</v>
      </c>
      <c r="M1" t="s">
        <v>207</v>
      </c>
      <c r="N1" t="s">
        <v>208</v>
      </c>
      <c r="O1" t="s">
        <v>17</v>
      </c>
      <c r="P1" t="s">
        <v>209</v>
      </c>
      <c r="Q1" t="s">
        <v>210</v>
      </c>
      <c r="R1" t="s">
        <v>211</v>
      </c>
      <c r="S1" t="s">
        <v>18</v>
      </c>
      <c r="T1" t="s">
        <v>212</v>
      </c>
      <c r="U1" t="s">
        <v>21</v>
      </c>
      <c r="V1" t="s">
        <v>213</v>
      </c>
    </row>
    <row r="2" spans="1:22" x14ac:dyDescent="0.25">
      <c r="A2" t="s">
        <v>28</v>
      </c>
      <c r="B2" t="s">
        <v>6</v>
      </c>
      <c r="C2" t="s">
        <v>29</v>
      </c>
      <c r="D2" t="s">
        <v>30</v>
      </c>
      <c r="E2" s="11">
        <v>30568</v>
      </c>
      <c r="F2" t="s">
        <v>31</v>
      </c>
      <c r="G2">
        <v>37</v>
      </c>
      <c r="H2" t="s">
        <v>2</v>
      </c>
      <c r="I2">
        <v>3</v>
      </c>
      <c r="J2" t="s">
        <v>221</v>
      </c>
      <c r="K2">
        <v>358206.60000000003</v>
      </c>
      <c r="L2">
        <v>358206.60000000003</v>
      </c>
      <c r="M2">
        <v>20059.569600000003</v>
      </c>
      <c r="N2">
        <v>8596.9584000000013</v>
      </c>
      <c r="O2">
        <v>4500</v>
      </c>
      <c r="P2">
        <v>1800</v>
      </c>
      <c r="Q2">
        <v>6442.0206666666736</v>
      </c>
      <c r="R2">
        <v>25000</v>
      </c>
      <c r="S2">
        <v>0</v>
      </c>
      <c r="T2">
        <v>66398.548666666669</v>
      </c>
      <c r="U2">
        <v>17500</v>
      </c>
      <c r="V2">
        <v>309308.05133333337</v>
      </c>
    </row>
    <row r="3" spans="1:22" x14ac:dyDescent="0.25">
      <c r="A3" t="s">
        <v>32</v>
      </c>
      <c r="B3" t="s">
        <v>6</v>
      </c>
      <c r="C3" t="s">
        <v>33</v>
      </c>
      <c r="D3" t="s">
        <v>34</v>
      </c>
      <c r="E3" s="12" t="s">
        <v>223</v>
      </c>
      <c r="F3" t="s">
        <v>35</v>
      </c>
      <c r="G3">
        <v>45</v>
      </c>
      <c r="H3" t="s">
        <v>5</v>
      </c>
      <c r="I3">
        <v>0</v>
      </c>
      <c r="J3" t="s">
        <v>221</v>
      </c>
      <c r="K3">
        <v>376842.60000000003</v>
      </c>
      <c r="L3">
        <v>376842.60000000003</v>
      </c>
      <c r="M3">
        <v>20160</v>
      </c>
      <c r="N3">
        <v>9044.2224000000006</v>
      </c>
      <c r="O3">
        <v>0</v>
      </c>
      <c r="P3">
        <v>900</v>
      </c>
      <c r="Q3">
        <v>44602.077999999987</v>
      </c>
      <c r="R3">
        <v>0</v>
      </c>
      <c r="S3">
        <v>0</v>
      </c>
      <c r="T3">
        <v>74706.300399999978</v>
      </c>
      <c r="U3">
        <v>12500</v>
      </c>
      <c r="V3">
        <v>314636.29960000003</v>
      </c>
    </row>
    <row r="4" spans="1:22" x14ac:dyDescent="0.25">
      <c r="A4" t="s">
        <v>36</v>
      </c>
      <c r="B4" t="s">
        <v>6</v>
      </c>
      <c r="C4" t="s">
        <v>37</v>
      </c>
      <c r="D4" t="s">
        <v>38</v>
      </c>
      <c r="E4" s="2" t="s">
        <v>224</v>
      </c>
      <c r="F4" t="s">
        <v>39</v>
      </c>
      <c r="G4">
        <v>38</v>
      </c>
      <c r="H4" t="s">
        <v>2</v>
      </c>
      <c r="I4">
        <v>6</v>
      </c>
      <c r="J4" t="s">
        <v>221</v>
      </c>
      <c r="K4">
        <v>361438.60000000003</v>
      </c>
      <c r="L4">
        <v>361438.60000000003</v>
      </c>
      <c r="M4">
        <v>20160</v>
      </c>
      <c r="N4">
        <v>8674.5264000000006</v>
      </c>
      <c r="O4">
        <v>5000</v>
      </c>
      <c r="P4">
        <v>2700</v>
      </c>
      <c r="Q4">
        <v>0</v>
      </c>
      <c r="R4">
        <v>0</v>
      </c>
      <c r="S4">
        <v>0</v>
      </c>
      <c r="T4">
        <v>36534.526400000002</v>
      </c>
      <c r="U4">
        <v>20000</v>
      </c>
      <c r="V4">
        <v>344904.0736</v>
      </c>
    </row>
    <row r="5" spans="1:22" x14ac:dyDescent="0.25">
      <c r="A5" t="s">
        <v>40</v>
      </c>
      <c r="B5" t="s">
        <v>1</v>
      </c>
      <c r="C5" t="s">
        <v>41</v>
      </c>
      <c r="D5" t="s">
        <v>42</v>
      </c>
      <c r="E5" s="2">
        <v>29273</v>
      </c>
      <c r="F5" t="s">
        <v>43</v>
      </c>
      <c r="G5">
        <v>40</v>
      </c>
      <c r="H5" t="s">
        <v>2</v>
      </c>
      <c r="I5">
        <v>1</v>
      </c>
      <c r="J5" t="s">
        <v>221</v>
      </c>
      <c r="K5">
        <v>253940.05000000002</v>
      </c>
      <c r="L5">
        <v>253940.05000000002</v>
      </c>
      <c r="M5">
        <v>14220.642800000001</v>
      </c>
      <c r="N5">
        <v>6094.5612000000001</v>
      </c>
      <c r="O5">
        <v>0</v>
      </c>
      <c r="P5">
        <v>1800</v>
      </c>
      <c r="Q5">
        <v>0</v>
      </c>
      <c r="R5">
        <v>0</v>
      </c>
      <c r="S5">
        <v>0</v>
      </c>
      <c r="T5">
        <v>22115.204000000002</v>
      </c>
      <c r="U5">
        <v>0</v>
      </c>
      <c r="V5">
        <v>231824.84600000002</v>
      </c>
    </row>
    <row r="6" spans="1:22" x14ac:dyDescent="0.25">
      <c r="A6" t="s">
        <v>44</v>
      </c>
      <c r="B6" t="s">
        <v>1</v>
      </c>
      <c r="C6" t="s">
        <v>45</v>
      </c>
      <c r="D6" t="s">
        <v>46</v>
      </c>
      <c r="E6" s="2" t="s">
        <v>225</v>
      </c>
      <c r="F6" t="s">
        <v>47</v>
      </c>
      <c r="G6">
        <v>37</v>
      </c>
      <c r="H6" t="s">
        <v>5</v>
      </c>
      <c r="I6">
        <v>1</v>
      </c>
      <c r="J6" t="s">
        <v>221</v>
      </c>
      <c r="K6">
        <v>265034.05</v>
      </c>
      <c r="L6">
        <v>300034.05</v>
      </c>
      <c r="M6">
        <v>14841.906799999999</v>
      </c>
      <c r="N6">
        <v>6360.8171999999995</v>
      </c>
      <c r="O6">
        <v>3500</v>
      </c>
      <c r="P6">
        <v>900</v>
      </c>
      <c r="Q6">
        <v>24708.805999999997</v>
      </c>
      <c r="R6">
        <v>30000</v>
      </c>
      <c r="S6">
        <v>20000</v>
      </c>
      <c r="T6">
        <v>100311.53</v>
      </c>
      <c r="U6">
        <v>0</v>
      </c>
      <c r="V6">
        <v>164722.51999999999</v>
      </c>
    </row>
    <row r="7" spans="1:22" x14ac:dyDescent="0.25">
      <c r="A7" t="s">
        <v>48</v>
      </c>
      <c r="B7" t="s">
        <v>1</v>
      </c>
      <c r="C7" t="s">
        <v>49</v>
      </c>
      <c r="D7" t="s">
        <v>50</v>
      </c>
      <c r="E7" s="2">
        <v>29138</v>
      </c>
      <c r="F7" t="s">
        <v>51</v>
      </c>
      <c r="G7">
        <v>41</v>
      </c>
      <c r="H7" t="s">
        <v>5</v>
      </c>
      <c r="I7">
        <v>0</v>
      </c>
      <c r="J7" t="s">
        <v>214</v>
      </c>
      <c r="K7">
        <v>240062.05000000002</v>
      </c>
      <c r="L7">
        <v>240062.05000000002</v>
      </c>
      <c r="M7">
        <v>13443.474800000002</v>
      </c>
      <c r="N7">
        <v>5761.4892000000009</v>
      </c>
      <c r="O7">
        <v>2500</v>
      </c>
      <c r="P7">
        <v>900</v>
      </c>
      <c r="Q7">
        <v>9176.0579999999954</v>
      </c>
      <c r="R7">
        <v>0</v>
      </c>
      <c r="S7">
        <v>0</v>
      </c>
      <c r="T7">
        <v>31781.021999999997</v>
      </c>
      <c r="U7">
        <v>0</v>
      </c>
      <c r="V7">
        <v>208281.02800000002</v>
      </c>
    </row>
    <row r="8" spans="1:22" x14ac:dyDescent="0.25">
      <c r="A8" t="s">
        <v>52</v>
      </c>
      <c r="B8" t="s">
        <v>0</v>
      </c>
      <c r="C8" t="s">
        <v>53</v>
      </c>
      <c r="D8" t="s">
        <v>54</v>
      </c>
      <c r="E8" s="2" t="s">
        <v>227</v>
      </c>
      <c r="F8" t="s">
        <v>55</v>
      </c>
      <c r="G8">
        <v>38</v>
      </c>
      <c r="H8" t="s">
        <v>2</v>
      </c>
      <c r="I8">
        <v>4</v>
      </c>
      <c r="J8" t="s">
        <v>214</v>
      </c>
      <c r="K8">
        <v>479897.63000000006</v>
      </c>
      <c r="L8">
        <v>539897.63000000012</v>
      </c>
      <c r="M8">
        <v>20160</v>
      </c>
      <c r="N8">
        <v>11517.543120000002</v>
      </c>
      <c r="O8">
        <v>0</v>
      </c>
      <c r="P8">
        <v>900</v>
      </c>
      <c r="Q8">
        <v>45166.656333333318</v>
      </c>
      <c r="R8">
        <v>0</v>
      </c>
      <c r="S8">
        <v>0</v>
      </c>
      <c r="T8">
        <v>77744.19945333332</v>
      </c>
      <c r="U8">
        <v>0</v>
      </c>
      <c r="V8">
        <v>402153.43054666673</v>
      </c>
    </row>
    <row r="9" spans="1:22" x14ac:dyDescent="0.25">
      <c r="A9" t="s">
        <v>56</v>
      </c>
      <c r="B9" t="s">
        <v>0</v>
      </c>
      <c r="C9" t="s">
        <v>57</v>
      </c>
      <c r="D9" t="s">
        <v>58</v>
      </c>
      <c r="E9" s="2" t="s">
        <v>228</v>
      </c>
      <c r="F9" t="s">
        <v>31</v>
      </c>
      <c r="G9">
        <v>45</v>
      </c>
      <c r="H9" t="s">
        <v>5</v>
      </c>
      <c r="I9">
        <v>0</v>
      </c>
      <c r="J9" t="s">
        <v>214</v>
      </c>
      <c r="K9">
        <v>469897.63000000006</v>
      </c>
      <c r="L9">
        <v>469897.63000000006</v>
      </c>
      <c r="M9">
        <v>20160</v>
      </c>
      <c r="N9">
        <v>11277.543120000002</v>
      </c>
      <c r="O9">
        <v>3000</v>
      </c>
      <c r="P9">
        <v>900</v>
      </c>
      <c r="Q9">
        <v>68703.322999999989</v>
      </c>
      <c r="R9">
        <v>0</v>
      </c>
      <c r="S9">
        <v>0</v>
      </c>
      <c r="T9">
        <v>104040.86611999999</v>
      </c>
      <c r="U9">
        <v>0</v>
      </c>
      <c r="V9">
        <v>365856.7638800001</v>
      </c>
    </row>
    <row r="10" spans="1:22" x14ac:dyDescent="0.25">
      <c r="A10" t="s">
        <v>59</v>
      </c>
      <c r="B10" t="s">
        <v>0</v>
      </c>
      <c r="C10" t="s">
        <v>60</v>
      </c>
      <c r="D10" t="s">
        <v>58</v>
      </c>
      <c r="E10" s="2">
        <v>29260</v>
      </c>
      <c r="F10" t="s">
        <v>55</v>
      </c>
      <c r="G10">
        <v>40</v>
      </c>
      <c r="H10" t="s">
        <v>2</v>
      </c>
      <c r="I10">
        <v>8</v>
      </c>
      <c r="J10" t="s">
        <v>214</v>
      </c>
      <c r="K10">
        <v>469897.63000000006</v>
      </c>
      <c r="L10">
        <v>507397.63000000006</v>
      </c>
      <c r="M10">
        <v>20160</v>
      </c>
      <c r="N10">
        <v>11277.543120000002</v>
      </c>
      <c r="O10">
        <v>3000</v>
      </c>
      <c r="P10">
        <v>3600</v>
      </c>
      <c r="Q10">
        <v>78415.822999999989</v>
      </c>
      <c r="R10">
        <v>55000</v>
      </c>
      <c r="S10">
        <v>0</v>
      </c>
      <c r="T10">
        <v>171453.36611999999</v>
      </c>
      <c r="U10">
        <v>0</v>
      </c>
      <c r="V10">
        <v>298444.2638800001</v>
      </c>
    </row>
    <row r="11" spans="1:22" x14ac:dyDescent="0.25">
      <c r="A11" t="s">
        <v>61</v>
      </c>
      <c r="B11" t="s">
        <v>0</v>
      </c>
      <c r="C11" t="s">
        <v>62</v>
      </c>
      <c r="D11" t="s">
        <v>63</v>
      </c>
      <c r="E11" s="2">
        <v>27977</v>
      </c>
      <c r="F11" t="s">
        <v>64</v>
      </c>
      <c r="G11">
        <v>44</v>
      </c>
      <c r="H11" t="s">
        <v>5</v>
      </c>
      <c r="I11">
        <v>0</v>
      </c>
      <c r="J11" t="s">
        <v>221</v>
      </c>
      <c r="K11">
        <v>469897.63000000006</v>
      </c>
      <c r="L11">
        <v>519897.63000000006</v>
      </c>
      <c r="M11">
        <v>20160</v>
      </c>
      <c r="N11">
        <v>11277.543120000002</v>
      </c>
      <c r="O11">
        <v>0</v>
      </c>
      <c r="P11">
        <v>900</v>
      </c>
      <c r="Q11">
        <v>81653.322999999989</v>
      </c>
      <c r="R11">
        <v>0</v>
      </c>
      <c r="S11">
        <v>0</v>
      </c>
      <c r="T11">
        <v>113990.86611999999</v>
      </c>
      <c r="U11">
        <v>0</v>
      </c>
      <c r="V11">
        <v>355906.7638800001</v>
      </c>
    </row>
    <row r="12" spans="1:22" x14ac:dyDescent="0.25">
      <c r="A12" t="s">
        <v>65</v>
      </c>
      <c r="B12" t="s">
        <v>6</v>
      </c>
      <c r="C12" t="s">
        <v>66</v>
      </c>
      <c r="D12" t="s">
        <v>67</v>
      </c>
      <c r="E12" s="2" t="s">
        <v>230</v>
      </c>
      <c r="F12" t="s">
        <v>68</v>
      </c>
      <c r="G12">
        <v>43</v>
      </c>
      <c r="H12" t="s">
        <v>5</v>
      </c>
      <c r="I12">
        <v>0</v>
      </c>
      <c r="J12" t="s">
        <v>221</v>
      </c>
      <c r="K12">
        <v>360226.60000000003</v>
      </c>
      <c r="L12">
        <v>360226.60000000003</v>
      </c>
      <c r="M12">
        <v>20160</v>
      </c>
      <c r="N12">
        <v>8645.4384000000009</v>
      </c>
      <c r="O12">
        <v>3000</v>
      </c>
      <c r="P12">
        <v>900</v>
      </c>
      <c r="Q12">
        <v>40298.534000000007</v>
      </c>
      <c r="R12">
        <v>0</v>
      </c>
      <c r="S12">
        <v>0</v>
      </c>
      <c r="T12">
        <v>73003.972399999999</v>
      </c>
      <c r="U12">
        <v>25000</v>
      </c>
      <c r="V12">
        <v>312222.62760000001</v>
      </c>
    </row>
    <row r="13" spans="1:22" x14ac:dyDescent="0.25">
      <c r="A13" t="s">
        <v>69</v>
      </c>
      <c r="B13" t="s">
        <v>6</v>
      </c>
      <c r="C13" t="s">
        <v>70</v>
      </c>
      <c r="D13" t="s">
        <v>71</v>
      </c>
      <c r="E13" s="2" t="s">
        <v>232</v>
      </c>
      <c r="F13" t="s">
        <v>72</v>
      </c>
      <c r="G13">
        <v>41</v>
      </c>
      <c r="H13" t="s">
        <v>5</v>
      </c>
      <c r="I13">
        <v>0</v>
      </c>
      <c r="J13" t="s">
        <v>221</v>
      </c>
      <c r="K13">
        <v>352550.60000000003</v>
      </c>
      <c r="L13">
        <v>352550.60000000003</v>
      </c>
      <c r="M13">
        <v>19742.833600000002</v>
      </c>
      <c r="N13">
        <v>8461.2144000000008</v>
      </c>
      <c r="O13">
        <v>0</v>
      </c>
      <c r="P13">
        <v>900</v>
      </c>
      <c r="Q13">
        <v>38310.44999999999</v>
      </c>
      <c r="R13">
        <v>17500</v>
      </c>
      <c r="S13">
        <v>0</v>
      </c>
      <c r="T13">
        <v>84914.497999999992</v>
      </c>
      <c r="U13">
        <v>0</v>
      </c>
      <c r="V13">
        <v>267636.10200000007</v>
      </c>
    </row>
    <row r="14" spans="1:22" x14ac:dyDescent="0.25">
      <c r="A14" t="s">
        <v>73</v>
      </c>
      <c r="B14" t="s">
        <v>6</v>
      </c>
      <c r="C14" t="s">
        <v>74</v>
      </c>
      <c r="D14" t="s">
        <v>75</v>
      </c>
      <c r="E14" s="2" t="s">
        <v>233</v>
      </c>
      <c r="F14" t="s">
        <v>76</v>
      </c>
      <c r="G14">
        <v>38</v>
      </c>
      <c r="H14" t="s">
        <v>5</v>
      </c>
      <c r="I14">
        <v>1</v>
      </c>
      <c r="J14" t="s">
        <v>221</v>
      </c>
      <c r="K14">
        <v>366286.60000000003</v>
      </c>
      <c r="L14">
        <v>366286.60000000003</v>
      </c>
      <c r="M14">
        <v>20160</v>
      </c>
      <c r="N14">
        <v>8790.8784000000014</v>
      </c>
      <c r="O14">
        <v>3000</v>
      </c>
      <c r="P14">
        <v>900</v>
      </c>
      <c r="Q14">
        <v>41868.074000000001</v>
      </c>
      <c r="R14">
        <v>0</v>
      </c>
      <c r="S14">
        <v>15000</v>
      </c>
      <c r="T14">
        <v>89718.952400000009</v>
      </c>
      <c r="U14">
        <v>17000</v>
      </c>
      <c r="V14">
        <v>293567.64760000003</v>
      </c>
    </row>
    <row r="15" spans="1:22" x14ac:dyDescent="0.25">
      <c r="A15" t="s">
        <v>77</v>
      </c>
      <c r="B15" t="s">
        <v>6</v>
      </c>
      <c r="C15" t="s">
        <v>78</v>
      </c>
      <c r="D15" t="s">
        <v>79</v>
      </c>
      <c r="E15" s="2" t="s">
        <v>234</v>
      </c>
      <c r="F15" t="s">
        <v>80</v>
      </c>
      <c r="G15">
        <v>35</v>
      </c>
      <c r="H15" t="s">
        <v>5</v>
      </c>
      <c r="I15">
        <v>0</v>
      </c>
      <c r="J15" t="s">
        <v>221</v>
      </c>
      <c r="K15">
        <v>240062.05000000002</v>
      </c>
      <c r="L15">
        <v>240062.05000000002</v>
      </c>
      <c r="M15">
        <v>13443.474800000002</v>
      </c>
      <c r="N15">
        <v>5761.4892000000009</v>
      </c>
      <c r="O15">
        <v>2500</v>
      </c>
      <c r="P15">
        <v>900</v>
      </c>
      <c r="Q15">
        <v>9176.0579999999954</v>
      </c>
      <c r="R15">
        <v>0</v>
      </c>
      <c r="S15">
        <v>0</v>
      </c>
      <c r="T15">
        <v>31781.021999999997</v>
      </c>
      <c r="U15">
        <v>0</v>
      </c>
      <c r="V15">
        <v>208281.02800000002</v>
      </c>
    </row>
    <row r="16" spans="1:22" x14ac:dyDescent="0.25">
      <c r="A16" t="s">
        <v>81</v>
      </c>
      <c r="B16" t="s">
        <v>1</v>
      </c>
      <c r="C16" t="s">
        <v>82</v>
      </c>
      <c r="D16" t="s">
        <v>79</v>
      </c>
      <c r="E16" s="2" t="s">
        <v>235</v>
      </c>
      <c r="F16" t="s">
        <v>80</v>
      </c>
      <c r="G16">
        <v>36</v>
      </c>
      <c r="H16" t="s">
        <v>5</v>
      </c>
      <c r="I16">
        <v>0</v>
      </c>
      <c r="J16" t="s">
        <v>221</v>
      </c>
      <c r="K16">
        <v>246987.05000000002</v>
      </c>
      <c r="L16">
        <v>246987.05000000002</v>
      </c>
      <c r="M16">
        <v>13831.274800000001</v>
      </c>
      <c r="N16">
        <v>5927.6892000000007</v>
      </c>
      <c r="O16">
        <v>0</v>
      </c>
      <c r="P16">
        <v>900</v>
      </c>
      <c r="Q16">
        <v>10969.632999999994</v>
      </c>
      <c r="R16">
        <v>0</v>
      </c>
      <c r="S16">
        <v>0</v>
      </c>
      <c r="T16">
        <v>31628.596999999994</v>
      </c>
      <c r="U16">
        <v>0</v>
      </c>
      <c r="V16">
        <v>215358.45300000004</v>
      </c>
    </row>
    <row r="17" spans="1:22" x14ac:dyDescent="0.25">
      <c r="A17" t="s">
        <v>83</v>
      </c>
      <c r="B17" t="s">
        <v>1</v>
      </c>
      <c r="C17" t="s">
        <v>84</v>
      </c>
      <c r="D17" t="s">
        <v>85</v>
      </c>
      <c r="E17" s="2" t="s">
        <v>236</v>
      </c>
      <c r="F17" t="s">
        <v>86</v>
      </c>
      <c r="G17">
        <v>42</v>
      </c>
      <c r="H17" t="s">
        <v>2</v>
      </c>
      <c r="I17">
        <v>4</v>
      </c>
      <c r="J17" t="s">
        <v>221</v>
      </c>
      <c r="K17">
        <v>260034.05000000002</v>
      </c>
      <c r="L17">
        <v>260034.05000000002</v>
      </c>
      <c r="M17">
        <v>14561.906800000001</v>
      </c>
      <c r="N17">
        <v>6240.8172000000004</v>
      </c>
      <c r="O17">
        <v>0</v>
      </c>
      <c r="P17">
        <v>1800</v>
      </c>
      <c r="Q17">
        <v>0</v>
      </c>
      <c r="R17">
        <v>0</v>
      </c>
      <c r="S17">
        <v>0</v>
      </c>
      <c r="T17">
        <v>22602.724000000002</v>
      </c>
      <c r="U17">
        <v>0</v>
      </c>
      <c r="V17">
        <v>237431.326</v>
      </c>
    </row>
    <row r="18" spans="1:22" x14ac:dyDescent="0.25">
      <c r="A18" t="s">
        <v>87</v>
      </c>
      <c r="B18" t="s">
        <v>1</v>
      </c>
      <c r="C18" t="s">
        <v>88</v>
      </c>
      <c r="D18" t="s">
        <v>85</v>
      </c>
      <c r="E18" s="2" t="s">
        <v>237</v>
      </c>
      <c r="F18" t="s">
        <v>89</v>
      </c>
      <c r="G18">
        <v>43</v>
      </c>
      <c r="H18" t="s">
        <v>2</v>
      </c>
      <c r="I18">
        <v>3</v>
      </c>
      <c r="J18" t="s">
        <v>214</v>
      </c>
      <c r="K18">
        <v>245325.05000000002</v>
      </c>
      <c r="L18">
        <v>245325.05000000002</v>
      </c>
      <c r="M18">
        <v>13738.202800000001</v>
      </c>
      <c r="N18">
        <v>5887.8012000000008</v>
      </c>
      <c r="O18">
        <v>0</v>
      </c>
      <c r="P18">
        <v>1800</v>
      </c>
      <c r="Q18">
        <v>0</v>
      </c>
      <c r="R18">
        <v>20000</v>
      </c>
      <c r="S18">
        <v>0</v>
      </c>
      <c r="T18">
        <v>41426.004000000001</v>
      </c>
      <c r="U18">
        <v>0</v>
      </c>
      <c r="V18">
        <v>203899.04600000003</v>
      </c>
    </row>
    <row r="19" spans="1:22" x14ac:dyDescent="0.25">
      <c r="A19" t="s">
        <v>90</v>
      </c>
      <c r="B19" t="s">
        <v>0</v>
      </c>
      <c r="C19" t="s">
        <v>91</v>
      </c>
      <c r="D19" t="s">
        <v>92</v>
      </c>
      <c r="E19" s="2" t="s">
        <v>238</v>
      </c>
      <c r="F19" t="s">
        <v>93</v>
      </c>
      <c r="G19">
        <v>38</v>
      </c>
      <c r="H19" t="s">
        <v>2</v>
      </c>
      <c r="I19">
        <v>7</v>
      </c>
      <c r="J19" t="s">
        <v>221</v>
      </c>
      <c r="K19">
        <v>479897.63000000006</v>
      </c>
      <c r="L19">
        <v>544897.63000000012</v>
      </c>
      <c r="M19">
        <v>20160</v>
      </c>
      <c r="N19">
        <v>11517.543120000002</v>
      </c>
      <c r="O19">
        <v>0</v>
      </c>
      <c r="P19">
        <v>2700</v>
      </c>
      <c r="Q19">
        <v>21461.656333333329</v>
      </c>
      <c r="R19">
        <v>15000</v>
      </c>
      <c r="S19">
        <v>0</v>
      </c>
      <c r="T19">
        <v>70839.199453333335</v>
      </c>
      <c r="U19">
        <v>0</v>
      </c>
      <c r="V19">
        <v>409058.43054666673</v>
      </c>
    </row>
    <row r="20" spans="1:22" x14ac:dyDescent="0.25">
      <c r="A20" t="s">
        <v>94</v>
      </c>
      <c r="B20" t="s">
        <v>1</v>
      </c>
      <c r="C20" t="s">
        <v>95</v>
      </c>
      <c r="D20" t="s">
        <v>96</v>
      </c>
      <c r="E20" s="2" t="s">
        <v>239</v>
      </c>
      <c r="F20" t="s">
        <v>97</v>
      </c>
      <c r="G20">
        <v>36</v>
      </c>
      <c r="H20" t="s">
        <v>2</v>
      </c>
      <c r="I20">
        <v>1</v>
      </c>
      <c r="J20" t="s">
        <v>221</v>
      </c>
      <c r="K20">
        <v>251142.05000000002</v>
      </c>
      <c r="L20">
        <v>251142.05000000002</v>
      </c>
      <c r="M20">
        <v>14063.954800000001</v>
      </c>
      <c r="N20">
        <v>6027.409200000001</v>
      </c>
      <c r="O20">
        <v>3000</v>
      </c>
      <c r="P20">
        <v>1800</v>
      </c>
      <c r="Q20">
        <v>0</v>
      </c>
      <c r="R20">
        <v>0</v>
      </c>
      <c r="S20">
        <v>0</v>
      </c>
      <c r="T20">
        <v>24891.364000000001</v>
      </c>
      <c r="U20">
        <v>0</v>
      </c>
      <c r="V20">
        <v>226250.68600000002</v>
      </c>
    </row>
    <row r="21" spans="1:22" x14ac:dyDescent="0.25">
      <c r="A21" t="s">
        <v>98</v>
      </c>
      <c r="B21" t="s">
        <v>6</v>
      </c>
      <c r="C21" t="s">
        <v>99</v>
      </c>
      <c r="D21" t="s">
        <v>96</v>
      </c>
      <c r="E21" s="2" t="s">
        <v>240</v>
      </c>
      <c r="F21" t="s">
        <v>100</v>
      </c>
      <c r="G21">
        <v>43</v>
      </c>
      <c r="H21" t="s">
        <v>2</v>
      </c>
      <c r="I21">
        <v>3</v>
      </c>
      <c r="J21" t="s">
        <v>221</v>
      </c>
      <c r="K21">
        <v>368474.60000000003</v>
      </c>
      <c r="L21">
        <v>368474.60000000003</v>
      </c>
      <c r="M21">
        <v>20160</v>
      </c>
      <c r="N21">
        <v>8843.3904000000002</v>
      </c>
      <c r="O21">
        <v>2500</v>
      </c>
      <c r="P21">
        <v>1800</v>
      </c>
      <c r="Q21">
        <v>9101.4326666666602</v>
      </c>
      <c r="R21">
        <v>0</v>
      </c>
      <c r="S21">
        <v>0</v>
      </c>
      <c r="T21">
        <v>42404.823066666664</v>
      </c>
      <c r="U21">
        <v>0</v>
      </c>
      <c r="V21">
        <v>326069.77693333337</v>
      </c>
    </row>
    <row r="22" spans="1:22" x14ac:dyDescent="0.25">
      <c r="A22" t="s">
        <v>101</v>
      </c>
      <c r="B22" t="s">
        <v>6</v>
      </c>
      <c r="C22" t="s">
        <v>102</v>
      </c>
      <c r="D22" t="s">
        <v>103</v>
      </c>
      <c r="E22" s="2">
        <v>28924</v>
      </c>
      <c r="F22" t="s">
        <v>104</v>
      </c>
      <c r="G22">
        <v>41</v>
      </c>
      <c r="H22" t="s">
        <v>2</v>
      </c>
      <c r="I22">
        <v>4</v>
      </c>
      <c r="J22" t="s">
        <v>221</v>
      </c>
      <c r="K22">
        <v>372750.60000000003</v>
      </c>
      <c r="L22">
        <v>372750.60000000003</v>
      </c>
      <c r="M22">
        <v>20160</v>
      </c>
      <c r="N22">
        <v>8946.0144000000018</v>
      </c>
      <c r="O22">
        <v>0</v>
      </c>
      <c r="P22">
        <v>2700</v>
      </c>
      <c r="Q22">
        <v>1875.5833333333285</v>
      </c>
      <c r="R22">
        <v>0</v>
      </c>
      <c r="S22">
        <v>0</v>
      </c>
      <c r="T22">
        <v>33681.597733333329</v>
      </c>
      <c r="U22">
        <v>20000</v>
      </c>
      <c r="V22">
        <v>359069.00226666674</v>
      </c>
    </row>
    <row r="23" spans="1:22" x14ac:dyDescent="0.25">
      <c r="A23" t="s">
        <v>105</v>
      </c>
      <c r="B23" t="s">
        <v>6</v>
      </c>
      <c r="C23" t="s">
        <v>106</v>
      </c>
      <c r="D23" t="s">
        <v>103</v>
      </c>
      <c r="E23" s="2">
        <v>30263</v>
      </c>
      <c r="F23" t="s">
        <v>107</v>
      </c>
      <c r="G23">
        <v>38</v>
      </c>
      <c r="H23" t="s">
        <v>2</v>
      </c>
      <c r="I23">
        <v>3</v>
      </c>
      <c r="J23" t="s">
        <v>221</v>
      </c>
      <c r="K23">
        <v>360126.60000000003</v>
      </c>
      <c r="L23">
        <v>360126.60000000003</v>
      </c>
      <c r="M23">
        <v>20160</v>
      </c>
      <c r="N23">
        <v>8643.0384000000013</v>
      </c>
      <c r="O23">
        <v>0</v>
      </c>
      <c r="P23">
        <v>900</v>
      </c>
      <c r="Q23">
        <v>6939.3006666666724</v>
      </c>
      <c r="R23">
        <v>0</v>
      </c>
      <c r="S23">
        <v>0</v>
      </c>
      <c r="T23">
        <v>36642.339066666675</v>
      </c>
      <c r="U23">
        <v>0</v>
      </c>
      <c r="V23">
        <v>323484.26093333337</v>
      </c>
    </row>
    <row r="24" spans="1:22" x14ac:dyDescent="0.25">
      <c r="A24" t="s">
        <v>108</v>
      </c>
      <c r="B24" t="s">
        <v>1</v>
      </c>
      <c r="C24" t="s">
        <v>109</v>
      </c>
      <c r="D24" t="s">
        <v>110</v>
      </c>
      <c r="E24" s="2">
        <v>27489</v>
      </c>
      <c r="F24" t="s">
        <v>111</v>
      </c>
      <c r="G24">
        <v>45</v>
      </c>
      <c r="H24" t="s">
        <v>2</v>
      </c>
      <c r="I24">
        <v>5</v>
      </c>
      <c r="J24" t="s">
        <v>221</v>
      </c>
      <c r="K24">
        <v>250865.05000000002</v>
      </c>
      <c r="L24">
        <v>300865.05000000005</v>
      </c>
      <c r="M24">
        <v>14048.442800000001</v>
      </c>
      <c r="N24">
        <v>6020.7612000000008</v>
      </c>
      <c r="O24">
        <v>0</v>
      </c>
      <c r="P24">
        <v>2700</v>
      </c>
      <c r="Q24">
        <v>0</v>
      </c>
      <c r="R24">
        <v>0</v>
      </c>
      <c r="S24">
        <v>0</v>
      </c>
      <c r="T24">
        <v>22769.204000000002</v>
      </c>
      <c r="U24">
        <v>0</v>
      </c>
      <c r="V24">
        <v>228095.84600000002</v>
      </c>
    </row>
    <row r="25" spans="1:22" x14ac:dyDescent="0.25">
      <c r="A25" t="s">
        <v>112</v>
      </c>
      <c r="B25" t="s">
        <v>1</v>
      </c>
      <c r="C25" t="s">
        <v>113</v>
      </c>
      <c r="D25" t="s">
        <v>114</v>
      </c>
      <c r="E25" s="2" t="s">
        <v>241</v>
      </c>
      <c r="F25" t="s">
        <v>115</v>
      </c>
      <c r="G25">
        <v>41</v>
      </c>
      <c r="H25" t="s">
        <v>2</v>
      </c>
      <c r="I25">
        <v>0</v>
      </c>
      <c r="J25" t="s">
        <v>221</v>
      </c>
      <c r="K25">
        <v>256156.05000000002</v>
      </c>
      <c r="L25">
        <v>256156.05000000002</v>
      </c>
      <c r="M25">
        <v>14344.738800000001</v>
      </c>
      <c r="N25">
        <v>6147.7452000000003</v>
      </c>
      <c r="O25">
        <v>2500</v>
      </c>
      <c r="P25">
        <v>1800</v>
      </c>
      <c r="Q25">
        <v>5011.0706666666565</v>
      </c>
      <c r="R25">
        <v>0</v>
      </c>
      <c r="S25">
        <v>0</v>
      </c>
      <c r="T25">
        <v>29803.554666666656</v>
      </c>
      <c r="U25">
        <v>0</v>
      </c>
      <c r="V25">
        <v>226352.49533333335</v>
      </c>
    </row>
    <row r="26" spans="1:22" x14ac:dyDescent="0.25">
      <c r="A26" t="s">
        <v>116</v>
      </c>
      <c r="B26" t="s">
        <v>1</v>
      </c>
      <c r="C26" t="s">
        <v>117</v>
      </c>
      <c r="D26" t="s">
        <v>114</v>
      </c>
      <c r="E26" s="2">
        <v>28525</v>
      </c>
      <c r="F26" t="s">
        <v>118</v>
      </c>
      <c r="G26">
        <v>42</v>
      </c>
      <c r="H26" t="s">
        <v>5</v>
      </c>
      <c r="I26">
        <v>0</v>
      </c>
      <c r="J26" t="s">
        <v>221</v>
      </c>
      <c r="K26">
        <v>249203.05000000002</v>
      </c>
      <c r="L26">
        <v>249203.05000000002</v>
      </c>
      <c r="M26">
        <v>13955.370800000001</v>
      </c>
      <c r="N26">
        <v>5980.8732000000009</v>
      </c>
      <c r="O26">
        <v>3000</v>
      </c>
      <c r="P26">
        <v>900</v>
      </c>
      <c r="Q26">
        <v>11543.576999999999</v>
      </c>
      <c r="R26">
        <v>30000</v>
      </c>
      <c r="S26">
        <v>0</v>
      </c>
      <c r="T26">
        <v>65379.821000000004</v>
      </c>
      <c r="U26">
        <v>0</v>
      </c>
      <c r="V26">
        <v>183823.22900000002</v>
      </c>
    </row>
    <row r="27" spans="1:22" x14ac:dyDescent="0.25">
      <c r="A27" t="s">
        <v>119</v>
      </c>
      <c r="B27" t="s">
        <v>1</v>
      </c>
      <c r="C27" t="s">
        <v>120</v>
      </c>
      <c r="D27" t="s">
        <v>121</v>
      </c>
      <c r="E27" s="2" t="s">
        <v>243</v>
      </c>
      <c r="F27" t="s">
        <v>122</v>
      </c>
      <c r="G27">
        <v>35</v>
      </c>
      <c r="H27" t="s">
        <v>5</v>
      </c>
      <c r="I27">
        <v>0</v>
      </c>
      <c r="J27" t="s">
        <v>214</v>
      </c>
      <c r="K27">
        <v>269790.05</v>
      </c>
      <c r="L27">
        <v>269790.05</v>
      </c>
      <c r="M27">
        <v>15108.2428</v>
      </c>
      <c r="N27">
        <v>6474.9611999999997</v>
      </c>
      <c r="O27">
        <v>0</v>
      </c>
      <c r="P27">
        <v>900</v>
      </c>
      <c r="Q27">
        <v>16875.609999999993</v>
      </c>
      <c r="R27">
        <v>0</v>
      </c>
      <c r="S27">
        <v>0</v>
      </c>
      <c r="T27">
        <v>39358.813999999991</v>
      </c>
      <c r="U27">
        <v>0</v>
      </c>
      <c r="V27">
        <v>230431.236</v>
      </c>
    </row>
    <row r="28" spans="1:22" x14ac:dyDescent="0.25">
      <c r="A28" t="s">
        <v>123</v>
      </c>
      <c r="B28" t="s">
        <v>0</v>
      </c>
      <c r="C28" t="s">
        <v>84</v>
      </c>
      <c r="D28" t="s">
        <v>124</v>
      </c>
      <c r="E28" s="2" t="s">
        <v>244</v>
      </c>
      <c r="F28" t="s">
        <v>125</v>
      </c>
      <c r="G28">
        <v>35</v>
      </c>
      <c r="H28" t="s">
        <v>5</v>
      </c>
      <c r="I28">
        <v>0</v>
      </c>
      <c r="J28" t="s">
        <v>221</v>
      </c>
      <c r="K28">
        <v>469897.63000000006</v>
      </c>
      <c r="L28">
        <v>484897.63000000006</v>
      </c>
      <c r="M28">
        <v>20160</v>
      </c>
      <c r="N28">
        <v>11277.543120000002</v>
      </c>
      <c r="O28">
        <v>3000</v>
      </c>
      <c r="P28">
        <v>900</v>
      </c>
      <c r="Q28">
        <v>72588.322999999989</v>
      </c>
      <c r="R28">
        <v>0</v>
      </c>
      <c r="S28">
        <v>0</v>
      </c>
      <c r="T28">
        <v>107925.86611999999</v>
      </c>
      <c r="U28">
        <v>0</v>
      </c>
      <c r="V28">
        <v>361971.7638800001</v>
      </c>
    </row>
    <row r="29" spans="1:22" x14ac:dyDescent="0.25">
      <c r="A29" t="s">
        <v>126</v>
      </c>
      <c r="B29" t="s">
        <v>6</v>
      </c>
      <c r="C29" t="s">
        <v>127</v>
      </c>
      <c r="D29" t="s">
        <v>128</v>
      </c>
      <c r="E29" s="2">
        <v>29901</v>
      </c>
      <c r="F29" t="s">
        <v>129</v>
      </c>
      <c r="G29">
        <v>39</v>
      </c>
      <c r="H29" t="s">
        <v>5</v>
      </c>
      <c r="I29">
        <v>0</v>
      </c>
      <c r="J29" t="s">
        <v>214</v>
      </c>
      <c r="K29">
        <v>364266.60000000003</v>
      </c>
      <c r="L29">
        <v>364266.60000000003</v>
      </c>
      <c r="M29">
        <v>20160</v>
      </c>
      <c r="N29">
        <v>8742.3984000000019</v>
      </c>
      <c r="O29">
        <v>2500</v>
      </c>
      <c r="P29">
        <v>900</v>
      </c>
      <c r="Q29">
        <v>41344.894000000008</v>
      </c>
      <c r="R29">
        <v>0</v>
      </c>
      <c r="S29">
        <v>0</v>
      </c>
      <c r="T29">
        <v>73647.292400000006</v>
      </c>
      <c r="U29">
        <v>0</v>
      </c>
      <c r="V29">
        <v>290619.30760000006</v>
      </c>
    </row>
    <row r="30" spans="1:22" x14ac:dyDescent="0.25">
      <c r="A30" t="s">
        <v>130</v>
      </c>
      <c r="B30" t="s">
        <v>0</v>
      </c>
      <c r="C30" t="s">
        <v>131</v>
      </c>
      <c r="D30" t="s">
        <v>132</v>
      </c>
      <c r="E30" s="2">
        <v>31083</v>
      </c>
      <c r="F30" t="s">
        <v>133</v>
      </c>
      <c r="G30">
        <v>35</v>
      </c>
      <c r="H30" t="s">
        <v>2</v>
      </c>
      <c r="I30">
        <v>2</v>
      </c>
      <c r="J30" t="s">
        <v>214</v>
      </c>
      <c r="K30">
        <v>479897.63000000006</v>
      </c>
      <c r="L30">
        <v>497397.63000000006</v>
      </c>
      <c r="M30">
        <v>20160</v>
      </c>
      <c r="N30">
        <v>11517.543120000002</v>
      </c>
      <c r="O30">
        <v>0</v>
      </c>
      <c r="P30">
        <v>900</v>
      </c>
      <c r="Q30">
        <v>50825.822999999982</v>
      </c>
      <c r="R30">
        <v>0</v>
      </c>
      <c r="S30">
        <v>0</v>
      </c>
      <c r="T30">
        <v>83403.366119999991</v>
      </c>
      <c r="U30">
        <v>0</v>
      </c>
      <c r="V30">
        <v>396494.2638800001</v>
      </c>
    </row>
    <row r="31" spans="1:22" x14ac:dyDescent="0.25">
      <c r="A31" t="s">
        <v>134</v>
      </c>
      <c r="B31" t="s">
        <v>0</v>
      </c>
      <c r="C31" t="s">
        <v>135</v>
      </c>
      <c r="D31" t="s">
        <v>136</v>
      </c>
      <c r="E31" s="2" t="s">
        <v>245</v>
      </c>
      <c r="F31" t="s">
        <v>137</v>
      </c>
      <c r="G31">
        <v>42</v>
      </c>
      <c r="H31" t="s">
        <v>2</v>
      </c>
      <c r="I31">
        <v>7</v>
      </c>
      <c r="J31" t="s">
        <v>214</v>
      </c>
      <c r="K31">
        <v>477897.63000000006</v>
      </c>
      <c r="L31">
        <v>477897.63000000006</v>
      </c>
      <c r="M31">
        <v>20160</v>
      </c>
      <c r="N31">
        <v>11469.543120000002</v>
      </c>
      <c r="O31">
        <v>3000</v>
      </c>
      <c r="P31">
        <v>3600</v>
      </c>
      <c r="Q31">
        <v>4108.6563333333179</v>
      </c>
      <c r="R31">
        <v>12500</v>
      </c>
      <c r="S31">
        <v>0</v>
      </c>
      <c r="T31">
        <v>54838.19945333332</v>
      </c>
      <c r="U31">
        <v>0</v>
      </c>
      <c r="V31">
        <v>423059.43054666673</v>
      </c>
    </row>
    <row r="32" spans="1:22" x14ac:dyDescent="0.25">
      <c r="A32" t="s">
        <v>138</v>
      </c>
      <c r="B32" t="s">
        <v>0</v>
      </c>
      <c r="C32" t="s">
        <v>139</v>
      </c>
      <c r="D32" t="s">
        <v>140</v>
      </c>
      <c r="E32" s="2" t="s">
        <v>240</v>
      </c>
      <c r="F32" t="s">
        <v>141</v>
      </c>
      <c r="G32">
        <v>43</v>
      </c>
      <c r="H32" t="s">
        <v>2</v>
      </c>
      <c r="I32">
        <v>5</v>
      </c>
      <c r="J32" t="s">
        <v>221</v>
      </c>
      <c r="K32">
        <v>469897.63000000006</v>
      </c>
      <c r="L32">
        <v>479897.63000000006</v>
      </c>
      <c r="M32">
        <v>20160</v>
      </c>
      <c r="N32">
        <v>11277.543120000002</v>
      </c>
      <c r="O32">
        <v>0</v>
      </c>
      <c r="P32">
        <v>1800</v>
      </c>
      <c r="Q32">
        <v>21293.322999999986</v>
      </c>
      <c r="R32">
        <v>0</v>
      </c>
      <c r="S32">
        <v>0</v>
      </c>
      <c r="T32">
        <v>54530.866119999991</v>
      </c>
      <c r="U32">
        <v>20000</v>
      </c>
      <c r="V32">
        <v>435366.7638800001</v>
      </c>
    </row>
    <row r="33" spans="1:22" x14ac:dyDescent="0.25">
      <c r="A33" t="s">
        <v>142</v>
      </c>
      <c r="B33" t="s">
        <v>6</v>
      </c>
      <c r="C33" t="s">
        <v>143</v>
      </c>
      <c r="D33" t="s">
        <v>144</v>
      </c>
      <c r="E33" s="2">
        <v>31110</v>
      </c>
      <c r="F33" t="s">
        <v>145</v>
      </c>
      <c r="G33">
        <v>35</v>
      </c>
      <c r="H33" t="s">
        <v>2</v>
      </c>
      <c r="I33">
        <v>3</v>
      </c>
      <c r="J33" t="s">
        <v>221</v>
      </c>
      <c r="K33">
        <v>358610.60000000003</v>
      </c>
      <c r="L33">
        <v>358610.60000000003</v>
      </c>
      <c r="M33">
        <v>20082.193600000002</v>
      </c>
      <c r="N33">
        <v>8606.6544000000013</v>
      </c>
      <c r="O33">
        <v>3000</v>
      </c>
      <c r="P33">
        <v>1800</v>
      </c>
      <c r="Q33">
        <v>6546.6566666666577</v>
      </c>
      <c r="R33">
        <v>0</v>
      </c>
      <c r="S33">
        <v>0</v>
      </c>
      <c r="T33">
        <v>40035.50466666666</v>
      </c>
      <c r="U33">
        <v>0</v>
      </c>
      <c r="V33">
        <v>318575.09533333336</v>
      </c>
    </row>
    <row r="34" spans="1:22" x14ac:dyDescent="0.25">
      <c r="A34" t="s">
        <v>146</v>
      </c>
      <c r="B34" t="s">
        <v>6</v>
      </c>
      <c r="C34" t="s">
        <v>147</v>
      </c>
      <c r="D34" t="s">
        <v>148</v>
      </c>
      <c r="E34" s="2">
        <v>28377</v>
      </c>
      <c r="F34" t="s">
        <v>149</v>
      </c>
      <c r="G34">
        <v>43</v>
      </c>
      <c r="H34" t="s">
        <v>2</v>
      </c>
      <c r="I34">
        <v>4</v>
      </c>
      <c r="J34" t="s">
        <v>221</v>
      </c>
      <c r="K34">
        <v>362246.60000000003</v>
      </c>
      <c r="L34">
        <v>362246.60000000003</v>
      </c>
      <c r="M34">
        <v>20160</v>
      </c>
      <c r="N34">
        <v>8693.9184000000005</v>
      </c>
      <c r="O34">
        <v>3000</v>
      </c>
      <c r="P34">
        <v>1800</v>
      </c>
      <c r="Q34">
        <v>0</v>
      </c>
      <c r="R34">
        <v>0</v>
      </c>
      <c r="S34">
        <v>0</v>
      </c>
      <c r="T34">
        <v>33653.918400000002</v>
      </c>
      <c r="U34">
        <v>0</v>
      </c>
      <c r="V34">
        <v>328592.68160000001</v>
      </c>
    </row>
    <row r="35" spans="1:22" x14ac:dyDescent="0.25">
      <c r="A35" t="s">
        <v>150</v>
      </c>
      <c r="B35" t="s">
        <v>6</v>
      </c>
      <c r="C35" t="s">
        <v>151</v>
      </c>
      <c r="D35" t="s">
        <v>152</v>
      </c>
      <c r="E35" s="2">
        <v>27672</v>
      </c>
      <c r="F35" t="s">
        <v>153</v>
      </c>
      <c r="G35">
        <v>45</v>
      </c>
      <c r="H35" t="s">
        <v>2</v>
      </c>
      <c r="I35">
        <v>2</v>
      </c>
      <c r="J35" t="s">
        <v>221</v>
      </c>
      <c r="K35">
        <v>352550.60000000003</v>
      </c>
      <c r="L35">
        <v>367050.60000000003</v>
      </c>
      <c r="M35">
        <v>19742.833600000002</v>
      </c>
      <c r="N35">
        <v>8461.2144000000008</v>
      </c>
      <c r="O35">
        <v>0</v>
      </c>
      <c r="P35">
        <v>900</v>
      </c>
      <c r="Q35">
        <v>17065.949999999993</v>
      </c>
      <c r="R35">
        <v>10000</v>
      </c>
      <c r="S35">
        <v>0</v>
      </c>
      <c r="T35">
        <v>56169.997999999992</v>
      </c>
      <c r="U35">
        <v>25000</v>
      </c>
      <c r="V35">
        <v>321380.60200000007</v>
      </c>
    </row>
    <row r="36" spans="1:22" x14ac:dyDescent="0.25">
      <c r="A36" t="s">
        <v>154</v>
      </c>
      <c r="B36" t="s">
        <v>6</v>
      </c>
      <c r="C36" t="s">
        <v>155</v>
      </c>
      <c r="D36" t="s">
        <v>156</v>
      </c>
      <c r="E36" s="2" t="s">
        <v>247</v>
      </c>
      <c r="F36" t="s">
        <v>157</v>
      </c>
      <c r="G36">
        <v>38</v>
      </c>
      <c r="H36" t="s">
        <v>2</v>
      </c>
      <c r="I36">
        <v>4</v>
      </c>
      <c r="J36" t="s">
        <v>221</v>
      </c>
      <c r="K36">
        <v>354166.60000000003</v>
      </c>
      <c r="L36">
        <v>354166.60000000003</v>
      </c>
      <c r="M36">
        <v>19833.329600000001</v>
      </c>
      <c r="N36">
        <v>8499.9984000000004</v>
      </c>
      <c r="O36">
        <v>0</v>
      </c>
      <c r="P36">
        <v>2700</v>
      </c>
      <c r="Q36">
        <v>0</v>
      </c>
      <c r="R36">
        <v>0</v>
      </c>
      <c r="S36">
        <v>0</v>
      </c>
      <c r="T36">
        <v>31033.328000000001</v>
      </c>
      <c r="U36">
        <v>0</v>
      </c>
      <c r="V36">
        <v>323133.27200000006</v>
      </c>
    </row>
    <row r="37" spans="1:22" x14ac:dyDescent="0.25">
      <c r="A37" t="s">
        <v>158</v>
      </c>
      <c r="B37" t="s">
        <v>6</v>
      </c>
      <c r="C37" t="s">
        <v>159</v>
      </c>
      <c r="D37" t="s">
        <v>160</v>
      </c>
      <c r="E37" s="2" t="s">
        <v>248</v>
      </c>
      <c r="F37" t="s">
        <v>161</v>
      </c>
      <c r="G37">
        <v>43</v>
      </c>
      <c r="H37" t="s">
        <v>2</v>
      </c>
      <c r="I37">
        <v>6</v>
      </c>
      <c r="J37" t="s">
        <v>221</v>
      </c>
      <c r="K37">
        <v>358206.60000000003</v>
      </c>
      <c r="L37">
        <v>358206.60000000003</v>
      </c>
      <c r="M37">
        <v>20059.569600000003</v>
      </c>
      <c r="N37">
        <v>8596.9584000000013</v>
      </c>
      <c r="O37">
        <v>0</v>
      </c>
      <c r="P37">
        <v>1800</v>
      </c>
      <c r="Q37">
        <v>0</v>
      </c>
      <c r="R37">
        <v>13000</v>
      </c>
      <c r="S37">
        <v>0</v>
      </c>
      <c r="T37">
        <v>43456.528000000006</v>
      </c>
      <c r="U37">
        <v>0</v>
      </c>
      <c r="V37">
        <v>314750.07200000004</v>
      </c>
    </row>
    <row r="38" spans="1:22" x14ac:dyDescent="0.25">
      <c r="A38" t="s">
        <v>162</v>
      </c>
      <c r="B38" t="s">
        <v>1</v>
      </c>
      <c r="C38" t="s">
        <v>144</v>
      </c>
      <c r="D38" t="s">
        <v>163</v>
      </c>
      <c r="E38" s="2">
        <v>28501</v>
      </c>
      <c r="F38" t="s">
        <v>68</v>
      </c>
      <c r="G38">
        <v>42</v>
      </c>
      <c r="H38" t="s">
        <v>5</v>
      </c>
      <c r="I38">
        <v>0</v>
      </c>
      <c r="J38" t="s">
        <v>214</v>
      </c>
      <c r="K38">
        <v>250062.05000000002</v>
      </c>
      <c r="L38">
        <v>250062.05000000002</v>
      </c>
      <c r="M38">
        <v>14003.474800000002</v>
      </c>
      <c r="N38">
        <v>6001.4892000000009</v>
      </c>
      <c r="O38">
        <v>3000</v>
      </c>
      <c r="P38">
        <v>900</v>
      </c>
      <c r="Q38">
        <v>11766.057999999988</v>
      </c>
      <c r="R38">
        <v>0</v>
      </c>
      <c r="S38">
        <v>0</v>
      </c>
      <c r="T38">
        <v>35671.02199999999</v>
      </c>
      <c r="U38">
        <v>0</v>
      </c>
      <c r="V38">
        <v>214391.02800000002</v>
      </c>
    </row>
    <row r="39" spans="1:22" x14ac:dyDescent="0.25">
      <c r="A39" t="s">
        <v>164</v>
      </c>
      <c r="B39" t="s">
        <v>0</v>
      </c>
      <c r="C39" t="s">
        <v>165</v>
      </c>
      <c r="D39" t="s">
        <v>163</v>
      </c>
      <c r="E39" s="2" t="s">
        <v>249</v>
      </c>
      <c r="F39" t="s">
        <v>72</v>
      </c>
      <c r="G39">
        <v>44</v>
      </c>
      <c r="H39" t="s">
        <v>5</v>
      </c>
      <c r="I39">
        <v>0</v>
      </c>
      <c r="J39" t="s">
        <v>221</v>
      </c>
      <c r="K39">
        <v>479897.63000000006</v>
      </c>
      <c r="L39">
        <v>494897.63000000006</v>
      </c>
      <c r="M39">
        <v>20160</v>
      </c>
      <c r="N39">
        <v>11517.543120000002</v>
      </c>
      <c r="O39">
        <v>0</v>
      </c>
      <c r="P39">
        <v>900</v>
      </c>
      <c r="Q39">
        <v>75178.322999999989</v>
      </c>
      <c r="R39">
        <v>10000</v>
      </c>
      <c r="S39">
        <v>0</v>
      </c>
      <c r="T39">
        <v>117755.86611999999</v>
      </c>
      <c r="U39">
        <v>0</v>
      </c>
      <c r="V39">
        <v>362141.7638800001</v>
      </c>
    </row>
    <row r="40" spans="1:22" x14ac:dyDescent="0.25">
      <c r="A40" t="s">
        <v>166</v>
      </c>
      <c r="B40" t="s">
        <v>1</v>
      </c>
      <c r="C40" t="s">
        <v>167</v>
      </c>
      <c r="D40" t="s">
        <v>168</v>
      </c>
      <c r="E40" s="2" t="s">
        <v>250</v>
      </c>
      <c r="F40" t="s">
        <v>51</v>
      </c>
      <c r="G40">
        <v>44</v>
      </c>
      <c r="H40" t="s">
        <v>5</v>
      </c>
      <c r="I40">
        <v>0</v>
      </c>
      <c r="J40" t="s">
        <v>221</v>
      </c>
      <c r="K40">
        <v>240062.05000000002</v>
      </c>
      <c r="L40">
        <v>240062.05000000002</v>
      </c>
      <c r="M40">
        <v>13443.474800000002</v>
      </c>
      <c r="N40">
        <v>5761.4892000000009</v>
      </c>
      <c r="O40">
        <v>0</v>
      </c>
      <c r="P40">
        <v>900</v>
      </c>
      <c r="Q40">
        <v>9176.0579999999954</v>
      </c>
      <c r="R40">
        <v>0</v>
      </c>
      <c r="S40">
        <v>0</v>
      </c>
      <c r="T40">
        <v>29281.021999999997</v>
      </c>
      <c r="U40">
        <v>0</v>
      </c>
      <c r="V40">
        <v>210781.02800000002</v>
      </c>
    </row>
    <row r="41" spans="1:22" x14ac:dyDescent="0.25">
      <c r="A41" t="s">
        <v>169</v>
      </c>
      <c r="B41" t="s">
        <v>1</v>
      </c>
      <c r="C41" t="s">
        <v>170</v>
      </c>
      <c r="D41" t="s">
        <v>168</v>
      </c>
      <c r="E41" s="2" t="s">
        <v>251</v>
      </c>
      <c r="F41" t="s">
        <v>43</v>
      </c>
      <c r="G41">
        <v>39</v>
      </c>
      <c r="H41" t="s">
        <v>5</v>
      </c>
      <c r="I41">
        <v>0</v>
      </c>
      <c r="J41" t="s">
        <v>214</v>
      </c>
      <c r="K41">
        <v>244494.05000000002</v>
      </c>
      <c r="L41">
        <v>244494.05000000002</v>
      </c>
      <c r="M41">
        <v>13691.666800000001</v>
      </c>
      <c r="N41">
        <v>5867.8572000000004</v>
      </c>
      <c r="O41">
        <v>5000</v>
      </c>
      <c r="P41">
        <v>900</v>
      </c>
      <c r="Q41">
        <v>10323.945999999996</v>
      </c>
      <c r="R41">
        <v>0</v>
      </c>
      <c r="S41">
        <v>0</v>
      </c>
      <c r="T41">
        <v>35783.47</v>
      </c>
      <c r="U41">
        <v>0</v>
      </c>
      <c r="V41">
        <v>208710.58000000002</v>
      </c>
    </row>
    <row r="42" spans="1:22" x14ac:dyDescent="0.25">
      <c r="A42" t="s">
        <v>171</v>
      </c>
      <c r="B42" t="s">
        <v>0</v>
      </c>
      <c r="C42" t="s">
        <v>172</v>
      </c>
      <c r="D42" t="s">
        <v>173</v>
      </c>
      <c r="E42" s="2" t="s">
        <v>252</v>
      </c>
      <c r="F42" t="s">
        <v>31</v>
      </c>
      <c r="G42">
        <v>43</v>
      </c>
      <c r="H42" t="s">
        <v>5</v>
      </c>
      <c r="I42">
        <v>1</v>
      </c>
      <c r="J42" t="s">
        <v>221</v>
      </c>
      <c r="K42">
        <v>469897.63000000006</v>
      </c>
      <c r="L42">
        <v>524897.63000000012</v>
      </c>
      <c r="M42">
        <v>20160</v>
      </c>
      <c r="N42">
        <v>11277.543120000002</v>
      </c>
      <c r="O42">
        <v>2500</v>
      </c>
      <c r="P42">
        <v>900</v>
      </c>
      <c r="Q42">
        <v>82948.322999999989</v>
      </c>
      <c r="R42">
        <v>0</v>
      </c>
      <c r="S42">
        <v>30000</v>
      </c>
      <c r="T42">
        <v>147785.86611999999</v>
      </c>
      <c r="U42">
        <v>0</v>
      </c>
      <c r="V42">
        <v>322111.7638800001</v>
      </c>
    </row>
    <row r="43" spans="1:22" x14ac:dyDescent="0.25">
      <c r="A43" t="s">
        <v>174</v>
      </c>
      <c r="B43" t="s">
        <v>1</v>
      </c>
      <c r="C43" t="s">
        <v>175</v>
      </c>
      <c r="D43" t="s">
        <v>176</v>
      </c>
      <c r="E43" s="2" t="s">
        <v>253</v>
      </c>
      <c r="F43" t="s">
        <v>177</v>
      </c>
      <c r="G43">
        <v>43</v>
      </c>
      <c r="H43" t="s">
        <v>2</v>
      </c>
      <c r="I43">
        <v>5</v>
      </c>
      <c r="J43" t="s">
        <v>221</v>
      </c>
      <c r="K43">
        <v>240062.05000000002</v>
      </c>
      <c r="L43">
        <v>240062.05000000002</v>
      </c>
      <c r="M43">
        <v>13443.474800000002</v>
      </c>
      <c r="N43">
        <v>5761.4892000000009</v>
      </c>
      <c r="O43">
        <v>0</v>
      </c>
      <c r="P43">
        <v>2700</v>
      </c>
      <c r="Q43">
        <v>0</v>
      </c>
      <c r="R43">
        <v>10000</v>
      </c>
      <c r="S43">
        <v>0</v>
      </c>
      <c r="T43">
        <v>31904.964000000004</v>
      </c>
      <c r="U43">
        <v>0</v>
      </c>
      <c r="V43">
        <v>208157.08600000001</v>
      </c>
    </row>
    <row r="44" spans="1:22" x14ac:dyDescent="0.25">
      <c r="A44" t="s">
        <v>178</v>
      </c>
      <c r="B44" t="s">
        <v>1</v>
      </c>
      <c r="C44" t="s">
        <v>179</v>
      </c>
      <c r="D44" t="s">
        <v>180</v>
      </c>
      <c r="E44" s="2" t="s">
        <v>254</v>
      </c>
      <c r="F44" t="s">
        <v>181</v>
      </c>
      <c r="G44">
        <v>41</v>
      </c>
      <c r="H44" t="s">
        <v>2</v>
      </c>
      <c r="I44">
        <v>1</v>
      </c>
      <c r="J44" t="s">
        <v>221</v>
      </c>
      <c r="K44">
        <v>248649.05000000002</v>
      </c>
      <c r="L44">
        <v>248649.05000000002</v>
      </c>
      <c r="M44">
        <v>13924.346800000001</v>
      </c>
      <c r="N44">
        <v>5967.5772000000006</v>
      </c>
      <c r="O44">
        <v>0</v>
      </c>
      <c r="P44">
        <v>1800</v>
      </c>
      <c r="Q44">
        <v>0</v>
      </c>
      <c r="R44">
        <v>0</v>
      </c>
      <c r="S44">
        <v>0</v>
      </c>
      <c r="T44">
        <v>21691.924000000003</v>
      </c>
      <c r="U44">
        <v>20000</v>
      </c>
      <c r="V44">
        <v>246957.12600000002</v>
      </c>
    </row>
    <row r="45" spans="1:22" x14ac:dyDescent="0.25">
      <c r="A45" t="s">
        <v>182</v>
      </c>
      <c r="B45" t="s">
        <v>6</v>
      </c>
      <c r="C45" t="s">
        <v>183</v>
      </c>
      <c r="D45" t="s">
        <v>184</v>
      </c>
      <c r="E45" s="2">
        <v>27974</v>
      </c>
      <c r="F45" t="s">
        <v>145</v>
      </c>
      <c r="G45">
        <v>44</v>
      </c>
      <c r="H45" t="s">
        <v>2</v>
      </c>
      <c r="I45">
        <v>1</v>
      </c>
      <c r="J45" t="s">
        <v>221</v>
      </c>
      <c r="K45">
        <v>362666.60000000003</v>
      </c>
      <c r="L45">
        <v>362666.60000000003</v>
      </c>
      <c r="M45">
        <v>20160</v>
      </c>
      <c r="N45">
        <v>8703.9984000000004</v>
      </c>
      <c r="O45">
        <v>2500</v>
      </c>
      <c r="P45">
        <v>1800</v>
      </c>
      <c r="Q45">
        <v>24263.827333333338</v>
      </c>
      <c r="R45">
        <v>0</v>
      </c>
      <c r="S45">
        <v>0</v>
      </c>
      <c r="T45">
        <v>57427.825733333331</v>
      </c>
      <c r="U45">
        <v>0</v>
      </c>
      <c r="V45">
        <v>305238.77426666673</v>
      </c>
    </row>
    <row r="46" spans="1:22" x14ac:dyDescent="0.25">
      <c r="A46" t="s">
        <v>185</v>
      </c>
      <c r="B46" t="s">
        <v>6</v>
      </c>
      <c r="C46" t="s">
        <v>186</v>
      </c>
      <c r="D46" t="s">
        <v>187</v>
      </c>
      <c r="E46" s="2" t="s">
        <v>255</v>
      </c>
      <c r="F46" t="s">
        <v>188</v>
      </c>
      <c r="G46">
        <v>36</v>
      </c>
      <c r="H46" t="s">
        <v>2</v>
      </c>
      <c r="I46">
        <v>2</v>
      </c>
      <c r="J46" t="s">
        <v>221</v>
      </c>
      <c r="K46">
        <v>365126.60000000003</v>
      </c>
      <c r="L46">
        <v>396626.60000000003</v>
      </c>
      <c r="M46">
        <v>20160</v>
      </c>
      <c r="N46">
        <v>8763.0384000000013</v>
      </c>
      <c r="O46">
        <v>0</v>
      </c>
      <c r="P46">
        <v>900</v>
      </c>
      <c r="Q46">
        <v>24726.134000000002</v>
      </c>
      <c r="R46">
        <v>0</v>
      </c>
      <c r="S46">
        <v>0</v>
      </c>
      <c r="T46">
        <v>54549.172400000003</v>
      </c>
      <c r="U46">
        <v>0</v>
      </c>
      <c r="V46">
        <v>310577.42760000005</v>
      </c>
    </row>
    <row r="47" spans="1:22" x14ac:dyDescent="0.25">
      <c r="A47" t="s">
        <v>189</v>
      </c>
      <c r="B47" t="s">
        <v>6</v>
      </c>
      <c r="C47" t="s">
        <v>190</v>
      </c>
      <c r="D47" t="s">
        <v>191</v>
      </c>
      <c r="E47" s="2" t="s">
        <v>256</v>
      </c>
      <c r="F47" t="s">
        <v>86</v>
      </c>
      <c r="G47">
        <v>36</v>
      </c>
      <c r="H47" t="s">
        <v>2</v>
      </c>
      <c r="I47">
        <v>1</v>
      </c>
      <c r="J47" t="s">
        <v>221</v>
      </c>
      <c r="K47">
        <v>364670.60000000003</v>
      </c>
      <c r="L47">
        <v>364670.60000000003</v>
      </c>
      <c r="M47">
        <v>20160</v>
      </c>
      <c r="N47">
        <v>8752.0944000000018</v>
      </c>
      <c r="O47">
        <v>0</v>
      </c>
      <c r="P47">
        <v>1800</v>
      </c>
      <c r="Q47">
        <v>24782.863333333327</v>
      </c>
      <c r="R47">
        <v>15000</v>
      </c>
      <c r="S47">
        <v>0</v>
      </c>
      <c r="T47">
        <v>70494.957733333329</v>
      </c>
      <c r="U47">
        <v>0</v>
      </c>
      <c r="V47">
        <v>294175.64226666669</v>
      </c>
    </row>
    <row r="48" spans="1:22" x14ac:dyDescent="0.25">
      <c r="A48" t="s">
        <v>192</v>
      </c>
      <c r="B48" t="s">
        <v>6</v>
      </c>
      <c r="C48" t="s">
        <v>193</v>
      </c>
      <c r="D48" t="s">
        <v>194</v>
      </c>
      <c r="E48" s="2" t="s">
        <v>258</v>
      </c>
      <c r="F48" t="s">
        <v>107</v>
      </c>
      <c r="G48">
        <v>44</v>
      </c>
      <c r="H48" t="s">
        <v>2</v>
      </c>
      <c r="I48">
        <v>5</v>
      </c>
      <c r="J48" t="s">
        <v>221</v>
      </c>
      <c r="K48">
        <v>356186.60000000003</v>
      </c>
      <c r="L48">
        <v>381186.60000000003</v>
      </c>
      <c r="M48">
        <v>19946.449600000004</v>
      </c>
      <c r="N48">
        <v>8548.4784000000018</v>
      </c>
      <c r="O48">
        <v>0</v>
      </c>
      <c r="P48">
        <v>2700</v>
      </c>
      <c r="Q48">
        <v>0</v>
      </c>
      <c r="R48">
        <v>0</v>
      </c>
      <c r="S48">
        <v>0</v>
      </c>
      <c r="T48">
        <v>31194.928000000007</v>
      </c>
      <c r="U48">
        <v>0</v>
      </c>
      <c r="V48">
        <v>324991.67200000002</v>
      </c>
    </row>
    <row r="49" spans="1:22" x14ac:dyDescent="0.25">
      <c r="A49" t="s">
        <v>195</v>
      </c>
      <c r="B49" t="s">
        <v>6</v>
      </c>
      <c r="C49" t="s">
        <v>196</v>
      </c>
      <c r="D49" t="s">
        <v>194</v>
      </c>
      <c r="E49" s="2" t="s">
        <v>259</v>
      </c>
      <c r="F49" t="s">
        <v>125</v>
      </c>
      <c r="G49">
        <v>35</v>
      </c>
      <c r="H49" t="s">
        <v>2</v>
      </c>
      <c r="I49">
        <v>2</v>
      </c>
      <c r="J49" t="s">
        <v>221</v>
      </c>
      <c r="K49">
        <v>364626.60000000003</v>
      </c>
      <c r="L49">
        <v>364626.60000000003</v>
      </c>
      <c r="M49">
        <v>20160</v>
      </c>
      <c r="N49">
        <v>8751.0384000000013</v>
      </c>
      <c r="O49">
        <v>3000</v>
      </c>
      <c r="P49">
        <v>900</v>
      </c>
      <c r="Q49">
        <v>16438.134000000005</v>
      </c>
      <c r="R49">
        <v>14500</v>
      </c>
      <c r="S49">
        <v>0</v>
      </c>
      <c r="T49">
        <v>63749.17240000001</v>
      </c>
      <c r="U49">
        <v>25000</v>
      </c>
      <c r="V49">
        <v>325877.42760000005</v>
      </c>
    </row>
    <row r="50" spans="1:22" x14ac:dyDescent="0.25">
      <c r="A50" t="s">
        <v>197</v>
      </c>
      <c r="B50" t="s">
        <v>6</v>
      </c>
      <c r="C50" t="s">
        <v>198</v>
      </c>
      <c r="D50" t="s">
        <v>199</v>
      </c>
      <c r="E50" s="2" t="s">
        <v>260</v>
      </c>
      <c r="F50" t="s">
        <v>31</v>
      </c>
      <c r="G50">
        <v>35</v>
      </c>
      <c r="H50" t="s">
        <v>2</v>
      </c>
      <c r="I50">
        <v>5</v>
      </c>
      <c r="J50" t="s">
        <v>221</v>
      </c>
      <c r="K50">
        <v>352550.60000000003</v>
      </c>
      <c r="L50">
        <v>352550.60000000003</v>
      </c>
      <c r="M50">
        <v>19742.833600000002</v>
      </c>
      <c r="N50">
        <v>8461.2144000000008</v>
      </c>
      <c r="O50">
        <v>0</v>
      </c>
      <c r="P50">
        <v>2700</v>
      </c>
      <c r="Q50">
        <v>0</v>
      </c>
      <c r="R50">
        <v>0</v>
      </c>
      <c r="S50">
        <v>0</v>
      </c>
      <c r="T50">
        <v>30904.048000000003</v>
      </c>
      <c r="U50">
        <v>0</v>
      </c>
      <c r="V50">
        <v>321646.55200000003</v>
      </c>
    </row>
    <row r="51" spans="1:22" x14ac:dyDescent="0.25">
      <c r="A51" t="s">
        <v>200</v>
      </c>
      <c r="B51" t="s">
        <v>6</v>
      </c>
      <c r="C51" t="s">
        <v>201</v>
      </c>
      <c r="D51" t="s">
        <v>202</v>
      </c>
      <c r="E51" s="2" t="s">
        <v>261</v>
      </c>
      <c r="F51" t="s">
        <v>104</v>
      </c>
      <c r="G51">
        <v>39</v>
      </c>
      <c r="H51" t="s">
        <v>5</v>
      </c>
      <c r="I51">
        <v>0</v>
      </c>
      <c r="J51" t="s">
        <v>221</v>
      </c>
      <c r="K51">
        <v>364802.60000000003</v>
      </c>
      <c r="L51">
        <v>364802.60000000003</v>
      </c>
      <c r="M51">
        <v>20160</v>
      </c>
      <c r="N51">
        <v>8755.2624000000014</v>
      </c>
      <c r="O51">
        <v>3000</v>
      </c>
      <c r="P51">
        <v>900</v>
      </c>
      <c r="Q51">
        <v>41483.717999999986</v>
      </c>
      <c r="R51">
        <v>13500</v>
      </c>
      <c r="S51">
        <v>0</v>
      </c>
      <c r="T51">
        <v>87798.980399999986</v>
      </c>
      <c r="U51">
        <v>0</v>
      </c>
      <c r="V51">
        <v>277003.61960000003</v>
      </c>
    </row>
    <row r="52" spans="1:22" x14ac:dyDescent="0.25">
      <c r="E52" s="1"/>
    </row>
    <row r="55" spans="1:22" x14ac:dyDescent="0.25">
      <c r="E55" s="1"/>
    </row>
  </sheetData>
  <printOptions horizontalCentered="1" verticalCentered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E14"/>
  <sheetViews>
    <sheetView workbookViewId="0">
      <selection activeCell="G19" sqref="G19"/>
    </sheetView>
  </sheetViews>
  <sheetFormatPr baseColWidth="10" defaultRowHeight="15" x14ac:dyDescent="0.25"/>
  <cols>
    <col min="1" max="1" width="16.42578125" customWidth="1"/>
    <col min="2" max="2" width="16" customWidth="1"/>
    <col min="3" max="3" width="15.7109375" customWidth="1"/>
    <col min="4" max="4" width="18.7109375" customWidth="1"/>
    <col min="5" max="5" width="17.42578125" customWidth="1"/>
    <col min="8" max="8" width="16.28515625" customWidth="1"/>
    <col min="9" max="9" width="14.140625" customWidth="1"/>
    <col min="17" max="17" width="17" customWidth="1"/>
  </cols>
  <sheetData>
    <row r="1" spans="1:5" x14ac:dyDescent="0.25">
      <c r="A1" s="7" t="s">
        <v>8</v>
      </c>
      <c r="B1" s="6" t="s">
        <v>266</v>
      </c>
      <c r="C1" s="7" t="s">
        <v>9</v>
      </c>
      <c r="D1" s="7" t="s">
        <v>10</v>
      </c>
      <c r="E1" s="7" t="s">
        <v>222</v>
      </c>
    </row>
    <row r="2" spans="1:5" x14ac:dyDescent="0.25">
      <c r="A2" s="7" t="s">
        <v>48</v>
      </c>
      <c r="B2" s="7" t="s">
        <v>1</v>
      </c>
      <c r="C2" s="7" t="s">
        <v>49</v>
      </c>
      <c r="D2" s="7" t="s">
        <v>50</v>
      </c>
      <c r="E2" s="7">
        <v>29138</v>
      </c>
    </row>
    <row r="3" spans="1:5" x14ac:dyDescent="0.25">
      <c r="A3" s="9"/>
      <c r="B3" s="9"/>
      <c r="C3" s="9"/>
      <c r="D3" s="9"/>
      <c r="E3" s="9"/>
    </row>
    <row r="4" spans="1:5" x14ac:dyDescent="0.25">
      <c r="A4" s="7" t="s">
        <v>11</v>
      </c>
      <c r="B4" s="7" t="s">
        <v>204</v>
      </c>
      <c r="C4" s="7" t="s">
        <v>14</v>
      </c>
      <c r="D4" s="7" t="s">
        <v>20</v>
      </c>
      <c r="E4" s="7" t="s">
        <v>265</v>
      </c>
    </row>
    <row r="5" spans="1:5" x14ac:dyDescent="0.25">
      <c r="A5" s="7" t="s">
        <v>51</v>
      </c>
      <c r="B5" s="7">
        <v>41</v>
      </c>
      <c r="C5" s="7" t="s">
        <v>5</v>
      </c>
      <c r="D5" s="7">
        <v>0</v>
      </c>
      <c r="E5" s="6" t="s">
        <v>214</v>
      </c>
    </row>
    <row r="6" spans="1:5" x14ac:dyDescent="0.25">
      <c r="A6" s="8"/>
      <c r="B6" s="8"/>
      <c r="C6" s="8"/>
      <c r="D6" s="8"/>
      <c r="E6" s="8"/>
    </row>
    <row r="7" spans="1:5" x14ac:dyDescent="0.25">
      <c r="A7" s="7" t="s">
        <v>206</v>
      </c>
      <c r="B7" s="7" t="s">
        <v>215</v>
      </c>
      <c r="C7" s="7" t="s">
        <v>207</v>
      </c>
      <c r="D7" s="7" t="s">
        <v>208</v>
      </c>
      <c r="E7" s="7" t="s">
        <v>17</v>
      </c>
    </row>
    <row r="8" spans="1:5" x14ac:dyDescent="0.25">
      <c r="A8" s="7">
        <v>240062.05000000002</v>
      </c>
      <c r="B8" s="7">
        <v>240062.05000000002</v>
      </c>
      <c r="C8" s="7">
        <v>13443.474800000002</v>
      </c>
      <c r="D8" s="7">
        <v>5761.4892000000009</v>
      </c>
      <c r="E8" s="7">
        <v>2500</v>
      </c>
    </row>
    <row r="9" spans="1:5" x14ac:dyDescent="0.25">
      <c r="A9" s="9"/>
      <c r="B9" s="9"/>
      <c r="C9" s="9"/>
      <c r="D9" s="9"/>
      <c r="E9" s="9"/>
    </row>
    <row r="10" spans="1:5" x14ac:dyDescent="0.25">
      <c r="A10" s="7" t="s">
        <v>209</v>
      </c>
      <c r="B10" s="7" t="s">
        <v>210</v>
      </c>
      <c r="C10" s="7" t="s">
        <v>211</v>
      </c>
      <c r="D10" s="7" t="s">
        <v>18</v>
      </c>
      <c r="E10" s="7" t="s">
        <v>212</v>
      </c>
    </row>
    <row r="11" spans="1:5" x14ac:dyDescent="0.25">
      <c r="A11" s="7">
        <v>900</v>
      </c>
      <c r="B11" s="7">
        <v>9176.0579999999954</v>
      </c>
      <c r="C11" s="7">
        <v>0</v>
      </c>
      <c r="D11" s="7">
        <v>0</v>
      </c>
      <c r="E11" s="7">
        <v>31781.021999999997</v>
      </c>
    </row>
    <row r="12" spans="1:5" x14ac:dyDescent="0.25">
      <c r="A12" s="9"/>
      <c r="B12" s="9"/>
      <c r="C12" s="9"/>
      <c r="D12" s="9"/>
      <c r="E12" s="9"/>
    </row>
    <row r="13" spans="1:5" x14ac:dyDescent="0.25">
      <c r="A13" s="7" t="s">
        <v>21</v>
      </c>
      <c r="B13" s="7" t="s">
        <v>213</v>
      </c>
      <c r="C13" s="6"/>
      <c r="D13" s="6"/>
      <c r="E13" s="6"/>
    </row>
    <row r="14" spans="1:5" x14ac:dyDescent="0.25">
      <c r="A14" s="7">
        <v>0</v>
      </c>
      <c r="B14" s="6">
        <v>208281.02800000002</v>
      </c>
      <c r="C14" s="6"/>
      <c r="D14" s="6"/>
      <c r="E14" s="6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7"/>
  <sheetViews>
    <sheetView workbookViewId="0">
      <selection activeCell="B8" sqref="B8"/>
    </sheetView>
  </sheetViews>
  <sheetFormatPr baseColWidth="10" defaultRowHeight="15" x14ac:dyDescent="0.25"/>
  <sheetData>
    <row r="1" spans="1:1" x14ac:dyDescent="0.25">
      <c r="A1" t="s">
        <v>3</v>
      </c>
    </row>
    <row r="2" spans="1:1" x14ac:dyDescent="0.25">
      <c r="A2" t="s">
        <v>4</v>
      </c>
    </row>
    <row r="3" spans="1:1" x14ac:dyDescent="0.25">
      <c r="A3" t="s">
        <v>2</v>
      </c>
    </row>
    <row r="4" spans="1:1" x14ac:dyDescent="0.25">
      <c r="A4" t="s">
        <v>5</v>
      </c>
    </row>
    <row r="5" spans="1:1" x14ac:dyDescent="0.25">
      <c r="A5" t="s">
        <v>0</v>
      </c>
    </row>
    <row r="6" spans="1:1" x14ac:dyDescent="0.25">
      <c r="A6" t="s">
        <v>6</v>
      </c>
    </row>
    <row r="7" spans="1:1" x14ac:dyDescent="0.25">
      <c r="A7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Menu</vt:lpstr>
      <vt:lpstr>Donnees</vt:lpstr>
      <vt:lpstr>livre_paie</vt:lpstr>
      <vt:lpstr>ecriture_compable</vt:lpstr>
      <vt:lpstr>Graphique1</vt:lpstr>
      <vt:lpstr>Graphique2</vt:lpstr>
      <vt:lpstr>Graphique3</vt:lpstr>
      <vt:lpstr>Graphique4</vt:lpstr>
      <vt:lpstr>Graphique5</vt:lpstr>
      <vt:lpstr>editeur_salaire</vt:lpstr>
      <vt:lpstr>edit_salaire</vt:lpstr>
      <vt:lpstr>combo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YODA ISMAEL</dc:creator>
  <cp:lastModifiedBy>YODA ISMAEL</cp:lastModifiedBy>
  <cp:lastPrinted>2020-07-01T00:37:06Z</cp:lastPrinted>
  <dcterms:created xsi:type="dcterms:W3CDTF">2020-05-16T17:25:59Z</dcterms:created>
  <dcterms:modified xsi:type="dcterms:W3CDTF">2020-07-01T00:38:02Z</dcterms:modified>
</cp:coreProperties>
</file>